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P Calculato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<sst xmlns="http://schemas.openxmlformats.org/spreadsheetml/2006/main" count="275" uniqueCount="19">
  <si>
    <t xml:space="preserve">Today's Date</t>
  </si>
  <si>
    <t xml:space="preserve">Expiry Date</t>
  </si>
  <si>
    <t xml:space="preserve">Stock Price</t>
  </si>
  <si>
    <t xml:space="preserve">Strike Price</t>
  </si>
  <si>
    <t xml:space="preserve">Option Price</t>
  </si>
  <si>
    <t xml:space="preserve">Number of contracts</t>
  </si>
  <si>
    <t xml:space="preserve">Total Premium</t>
  </si>
  <si>
    <t xml:space="preserve">Break Even</t>
  </si>
  <si>
    <t xml:space="preserve">Time Value</t>
  </si>
  <si>
    <t xml:space="preserve">Intrinsic Value</t>
  </si>
  <si>
    <t xml:space="preserve">% decrease to break even</t>
  </si>
  <si>
    <t xml:space="preserve">% Return if expired</t>
  </si>
  <si>
    <t xml:space="preserve">% Return p.a.</t>
  </si>
  <si>
    <t xml:space="preserve">Maximum Loss</t>
  </si>
  <si>
    <t xml:space="preserve">Maximum Gain</t>
  </si>
  <si>
    <t xml:space="preserve">Ending Price</t>
  </si>
  <si>
    <t xml:space="preserve">IYR</t>
  </si>
  <si>
    <t xml:space="preserve">WPC</t>
  </si>
  <si>
    <t xml:space="preserve">Update the cells in green only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</si>
</sst>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\$* #,##0.00_);_(\$* \(#,##0.00\);_(\$* \-??_);_(@_)"/>
    <numFmt numFmtId="167" formatCode="0%"/>
    <numFmt numFmtId="168" formatCode="[$-409]d\-mmm\-yy;@"/>
    <numFmt numFmtId="169" formatCode="_(* #,##0_);_(* \(#,##0\);_(* \-??_);_(@_)"/>
    <numFmt numFmtId="170" formatCode="0.00%"/>
    <numFmt numFmtId="171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BEEF4"/>
      </patternFill>
    </fill>
    <fill>
      <patternFill patternType="solid">
        <fgColor rgb="FFEBF1DE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DBEEF4"/>
        <bgColor rgb="FFEBF1D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4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5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urrency 2" xfId="21"/>
    <cellStyle name="Normal 2" xfId="22"/>
    <cellStyle name="Normal 3" xfId="23"/>
    <cellStyle name="Percent 2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P57"/>
  <sheetViews>
    <sheetView showFormulas="false" showGridLines="false" showRowColHeaders="true" showZeros="true" rightToLeft="false" tabSelected="true" showOutlineSymbols="true" defaultGridColor="true" view="normal" topLeftCell="BE1" colorId="64" zoomScale="90" zoomScaleNormal="90" zoomScalePageLayoutView="100" workbookViewId="0">
      <selection pane="topLeft" activeCell="BG26" activeCellId="0" sqref="BG2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2" width="24.14"/>
    <col collapsed="false" customWidth="true" hidden="false" outlineLevel="0" max="3" min="3" style="1" width="12.15"/>
    <col collapsed="false" customWidth="true" hidden="false" outlineLevel="0" max="4" min="4" style="1" width="17.29"/>
    <col collapsed="false" customWidth="true" hidden="false" outlineLevel="0" max="5" min="5" style="3" width="1.42"/>
    <col collapsed="false" customWidth="true" hidden="false" outlineLevel="0" max="6" min="6" style="2" width="24.14"/>
    <col collapsed="false" customWidth="true" hidden="false" outlineLevel="0" max="7" min="7" style="1" width="12.15"/>
    <col collapsed="false" customWidth="true" hidden="false" outlineLevel="0" max="8" min="8" style="1" width="17.29"/>
    <col collapsed="false" customWidth="true" hidden="false" outlineLevel="0" max="9" min="9" style="1" width="1.57"/>
    <col collapsed="false" customWidth="true" hidden="false" outlineLevel="0" max="10" min="10" style="2" width="24.14"/>
    <col collapsed="false" customWidth="true" hidden="false" outlineLevel="0" max="11" min="11" style="1" width="12.15"/>
    <col collapsed="false" customWidth="true" hidden="false" outlineLevel="0" max="12" min="12" style="1" width="17.29"/>
    <col collapsed="false" customWidth="true" hidden="false" outlineLevel="0" max="13" min="13" style="1" width="1.57"/>
    <col collapsed="false" customWidth="true" hidden="false" outlineLevel="0" max="14" min="14" style="2" width="24.14"/>
    <col collapsed="false" customWidth="true" hidden="false" outlineLevel="0" max="15" min="15" style="1" width="12.86"/>
    <col collapsed="false" customWidth="true" hidden="false" outlineLevel="0" max="16" min="16" style="1" width="17.29"/>
    <col collapsed="false" customWidth="true" hidden="false" outlineLevel="0" max="17" min="17" style="1" width="1.57"/>
    <col collapsed="false" customWidth="true" hidden="false" outlineLevel="0" max="18" min="18" style="2" width="24.14"/>
    <col collapsed="false" customWidth="true" hidden="false" outlineLevel="0" max="19" min="19" style="1" width="12.15"/>
    <col collapsed="false" customWidth="true" hidden="false" outlineLevel="0" max="20" min="20" style="1" width="17.29"/>
    <col collapsed="false" customWidth="true" hidden="false" outlineLevel="0" max="21" min="21" style="1" width="1.57"/>
    <col collapsed="false" customWidth="true" hidden="false" outlineLevel="0" max="22" min="22" style="2" width="24.14"/>
    <col collapsed="false" customWidth="true" hidden="false" outlineLevel="0" max="23" min="23" style="1" width="12.15"/>
    <col collapsed="false" customWidth="true" hidden="false" outlineLevel="0" max="24" min="24" style="1" width="17.29"/>
    <col collapsed="false" customWidth="true" hidden="false" outlineLevel="0" max="25" min="25" style="1" width="1.57"/>
    <col collapsed="false" customWidth="true" hidden="false" outlineLevel="0" max="26" min="26" style="2" width="24.14"/>
    <col collapsed="false" customWidth="true" hidden="false" outlineLevel="0" max="27" min="27" style="1" width="12.15"/>
    <col collapsed="false" customWidth="true" hidden="false" outlineLevel="0" max="28" min="28" style="1" width="17.29"/>
    <col collapsed="false" customWidth="true" hidden="false" outlineLevel="0" max="29" min="29" style="1" width="1.57"/>
    <col collapsed="false" customWidth="true" hidden="false" outlineLevel="0" max="30" min="30" style="2" width="24.14"/>
    <col collapsed="false" customWidth="true" hidden="false" outlineLevel="0" max="31" min="31" style="1" width="12.15"/>
    <col collapsed="false" customWidth="true" hidden="false" outlineLevel="0" max="32" min="32" style="1" width="17.29"/>
    <col collapsed="false" customWidth="true" hidden="false" outlineLevel="0" max="33" min="33" style="1" width="1.57"/>
    <col collapsed="false" customWidth="true" hidden="false" outlineLevel="0" max="34" min="34" style="2" width="24.14"/>
    <col collapsed="false" customWidth="true" hidden="false" outlineLevel="0" max="35" min="35" style="1" width="12.15"/>
    <col collapsed="false" customWidth="true" hidden="false" outlineLevel="0" max="36" min="36" style="1" width="17.29"/>
    <col collapsed="false" customWidth="true" hidden="false" outlineLevel="0" max="37" min="37" style="1" width="1.57"/>
    <col collapsed="false" customWidth="true" hidden="false" outlineLevel="0" max="38" min="38" style="2" width="24.14"/>
    <col collapsed="false" customWidth="true" hidden="false" outlineLevel="0" max="39" min="39" style="1" width="12.15"/>
    <col collapsed="false" customWidth="true" hidden="false" outlineLevel="0" max="40" min="40" style="1" width="17.29"/>
    <col collapsed="false" customWidth="true" hidden="false" outlineLevel="0" max="41" min="41" style="1" width="1.57"/>
    <col collapsed="false" customWidth="true" hidden="false" outlineLevel="0" max="42" min="42" style="2" width="24.14"/>
    <col collapsed="false" customWidth="true" hidden="false" outlineLevel="0" max="43" min="43" style="1" width="12.15"/>
    <col collapsed="false" customWidth="true" hidden="false" outlineLevel="0" max="44" min="44" style="1" width="17.29"/>
    <col collapsed="false" customWidth="true" hidden="false" outlineLevel="0" max="45" min="45" style="1" width="1.57"/>
    <col collapsed="false" customWidth="true" hidden="false" outlineLevel="0" max="46" min="46" style="2" width="24.14"/>
    <col collapsed="false" customWidth="true" hidden="false" outlineLevel="0" max="47" min="47" style="1" width="12.86"/>
    <col collapsed="false" customWidth="true" hidden="false" outlineLevel="0" max="48" min="48" style="1" width="17.29"/>
    <col collapsed="false" customWidth="true" hidden="false" outlineLevel="0" max="49" min="49" style="1" width="1.57"/>
    <col collapsed="false" customWidth="true" hidden="false" outlineLevel="0" max="50" min="50" style="2" width="24.14"/>
    <col collapsed="false" customWidth="true" hidden="false" outlineLevel="0" max="51" min="51" style="1" width="12.86"/>
    <col collapsed="false" customWidth="true" hidden="false" outlineLevel="0" max="52" min="52" style="1" width="19.14"/>
    <col collapsed="false" customWidth="true" hidden="false" outlineLevel="0" max="53" min="53" style="1" width="1.57"/>
    <col collapsed="false" customWidth="true" hidden="false" outlineLevel="0" max="54" min="54" style="2" width="24.14"/>
    <col collapsed="false" customWidth="true" hidden="false" outlineLevel="0" max="55" min="55" style="1" width="12.86"/>
    <col collapsed="false" customWidth="true" hidden="false" outlineLevel="0" max="56" min="56" style="1" width="19.14"/>
    <col collapsed="false" customWidth="true" hidden="false" outlineLevel="0" max="57" min="57" style="1" width="1.57"/>
    <col collapsed="false" customWidth="true" hidden="false" outlineLevel="0" max="58" min="58" style="2" width="24.14"/>
    <col collapsed="false" customWidth="true" hidden="false" outlineLevel="0" max="59" min="59" style="1" width="12.86"/>
    <col collapsed="false" customWidth="true" hidden="false" outlineLevel="0" max="60" min="60" style="1" width="19.14"/>
    <col collapsed="false" customWidth="true" hidden="false" outlineLevel="0" max="61" min="61" style="1" width="1.57"/>
    <col collapsed="false" customWidth="true" hidden="false" outlineLevel="0" max="62" min="62" style="2" width="24.14"/>
    <col collapsed="false" customWidth="true" hidden="false" outlineLevel="0" max="63" min="63" style="1" width="12.86"/>
    <col collapsed="false" customWidth="true" hidden="false" outlineLevel="0" max="64" min="64" style="1" width="18.42"/>
    <col collapsed="false" customWidth="true" hidden="false" outlineLevel="0" max="65" min="65" style="1" width="1.57"/>
    <col collapsed="false" customWidth="true" hidden="false" outlineLevel="0" max="66" min="66" style="2" width="24.14"/>
    <col collapsed="false" customWidth="true" hidden="false" outlineLevel="0" max="67" min="67" style="1" width="12.86"/>
    <col collapsed="false" customWidth="true" hidden="false" outlineLevel="0" max="68" min="68" style="1" width="18.42"/>
    <col collapsed="false" customWidth="false" hidden="false" outlineLevel="0" max="16384" min="69" style="1" width="9.14"/>
  </cols>
  <sheetData>
    <row r="1" customFormat="false" ht="6.75" hidden="false" customHeight="true" outlineLevel="0" collapsed="false"/>
    <row r="2" customFormat="false" ht="12" hidden="false" customHeight="true" outlineLevel="0" collapsed="false">
      <c r="B2" s="4"/>
      <c r="C2" s="5"/>
      <c r="D2" s="6"/>
      <c r="F2" s="4"/>
      <c r="G2" s="5"/>
      <c r="H2" s="6"/>
      <c r="J2" s="4"/>
      <c r="K2" s="5"/>
      <c r="L2" s="6"/>
      <c r="N2" s="4"/>
      <c r="O2" s="5"/>
      <c r="P2" s="6"/>
      <c r="R2" s="4"/>
      <c r="S2" s="5"/>
      <c r="T2" s="6"/>
      <c r="V2" s="4"/>
      <c r="W2" s="5"/>
      <c r="X2" s="6"/>
      <c r="Z2" s="4"/>
      <c r="AA2" s="5"/>
      <c r="AB2" s="6"/>
      <c r="AD2" s="4"/>
      <c r="AE2" s="5"/>
      <c r="AF2" s="6"/>
      <c r="AH2" s="4"/>
      <c r="AI2" s="5"/>
      <c r="AJ2" s="6"/>
      <c r="AL2" s="4"/>
      <c r="AM2" s="5"/>
      <c r="AN2" s="6"/>
      <c r="AP2" s="4"/>
      <c r="AQ2" s="5"/>
      <c r="AR2" s="6"/>
      <c r="AT2" s="4"/>
      <c r="AU2" s="5"/>
      <c r="AV2" s="6"/>
      <c r="AX2" s="4"/>
      <c r="AY2" s="5"/>
      <c r="AZ2" s="6"/>
      <c r="BB2" s="4"/>
      <c r="BC2" s="5"/>
      <c r="BD2" s="6"/>
      <c r="BF2" s="4"/>
      <c r="BG2" s="5"/>
      <c r="BH2" s="6"/>
      <c r="BJ2" s="4"/>
      <c r="BK2" s="5"/>
      <c r="BL2" s="6"/>
      <c r="BN2" s="4"/>
      <c r="BO2" s="5"/>
      <c r="BP2" s="6"/>
    </row>
    <row r="3" customFormat="false" ht="12" hidden="false" customHeight="true" outlineLevel="0" collapsed="false">
      <c r="B3" s="7" t="s">
        <v>0</v>
      </c>
      <c r="C3" s="8" t="n">
        <f aca="true">TODAY()</f>
        <v>45566</v>
      </c>
      <c r="D3" s="9"/>
      <c r="F3" s="7" t="s">
        <v>0</v>
      </c>
      <c r="G3" s="8" t="n">
        <f aca="true">TODAY()</f>
        <v>45566</v>
      </c>
      <c r="H3" s="9"/>
      <c r="J3" s="7" t="s">
        <v>0</v>
      </c>
      <c r="K3" s="8" t="n">
        <f aca="true">TODAY()</f>
        <v>45566</v>
      </c>
      <c r="L3" s="9"/>
      <c r="N3" s="7" t="s">
        <v>0</v>
      </c>
      <c r="O3" s="8" t="n">
        <f aca="true">TODAY()</f>
        <v>45566</v>
      </c>
      <c r="P3" s="9"/>
      <c r="R3" s="7" t="s">
        <v>0</v>
      </c>
      <c r="S3" s="8" t="n">
        <f aca="true">TODAY()</f>
        <v>45566</v>
      </c>
      <c r="T3" s="9"/>
      <c r="V3" s="7" t="s">
        <v>0</v>
      </c>
      <c r="W3" s="8" t="n">
        <f aca="true">TODAY()</f>
        <v>45566</v>
      </c>
      <c r="X3" s="9"/>
      <c r="Z3" s="7" t="s">
        <v>0</v>
      </c>
      <c r="AA3" s="8" t="n">
        <f aca="true">TODAY()</f>
        <v>45566</v>
      </c>
      <c r="AB3" s="9"/>
      <c r="AD3" s="7" t="s">
        <v>0</v>
      </c>
      <c r="AE3" s="8" t="n">
        <f aca="true">TODAY()</f>
        <v>45566</v>
      </c>
      <c r="AF3" s="9"/>
      <c r="AH3" s="7" t="s">
        <v>0</v>
      </c>
      <c r="AI3" s="8" t="n">
        <f aca="true">TODAY()</f>
        <v>45566</v>
      </c>
      <c r="AJ3" s="9"/>
      <c r="AL3" s="7" t="s">
        <v>0</v>
      </c>
      <c r="AM3" s="8" t="n">
        <f aca="true">TODAY()</f>
        <v>45566</v>
      </c>
      <c r="AN3" s="9"/>
      <c r="AP3" s="7" t="s">
        <v>0</v>
      </c>
      <c r="AQ3" s="8" t="n">
        <f aca="true">TODAY()</f>
        <v>45566</v>
      </c>
      <c r="AR3" s="9"/>
      <c r="AT3" s="7" t="s">
        <v>0</v>
      </c>
      <c r="AU3" s="8" t="n">
        <f aca="true">TODAY()</f>
        <v>45566</v>
      </c>
      <c r="AV3" s="9"/>
      <c r="AX3" s="7" t="s">
        <v>0</v>
      </c>
      <c r="AY3" s="8" t="n">
        <f aca="true">TODAY()</f>
        <v>45566</v>
      </c>
      <c r="AZ3" s="9"/>
      <c r="BB3" s="7" t="s">
        <v>0</v>
      </c>
      <c r="BC3" s="8" t="n">
        <f aca="true">TODAY()</f>
        <v>45565</v>
      </c>
      <c r="BD3" s="9"/>
      <c r="BF3" s="7" t="s">
        <v>0</v>
      </c>
      <c r="BG3" s="8" t="n">
        <f aca="true">TODAY()</f>
        <v>45565</v>
      </c>
      <c r="BH3" s="9"/>
      <c r="BJ3" s="7" t="s">
        <v>0</v>
      </c>
      <c r="BK3" s="8" t="n">
        <f aca="true">TODAY()</f>
        <v>45565</v>
      </c>
      <c r="BL3" s="9"/>
      <c r="BN3" s="7" t="s">
        <v>0</v>
      </c>
      <c r="BO3" s="8" t="n">
        <f aca="true">TODAY()</f>
        <v>45565</v>
      </c>
      <c r="BP3" s="9"/>
    </row>
    <row r="4" customFormat="false" ht="15" hidden="false" customHeight="false" outlineLevel="0" collapsed="false">
      <c r="B4" s="7" t="s">
        <v>1</v>
      </c>
      <c r="C4" s="10" t="n">
        <f aca="false">C3+30</f>
        <v>45596</v>
      </c>
      <c r="D4" s="11" t="str">
        <f aca="false">(C4-C3)&amp;" Days to Expiry"</f>
        <v>30 Days to Expiry</v>
      </c>
      <c r="F4" s="7" t="s">
        <v>1</v>
      </c>
      <c r="G4" s="10" t="n">
        <f aca="false">G3+30</f>
        <v>45596</v>
      </c>
      <c r="H4" s="11" t="str">
        <f aca="false">(G4-G3)&amp;" Days to Expiry"</f>
        <v>30 Days to Expiry</v>
      </c>
      <c r="J4" s="7" t="s">
        <v>1</v>
      </c>
      <c r="K4" s="10" t="n">
        <f aca="false">K3+30</f>
        <v>45596</v>
      </c>
      <c r="L4" s="11" t="str">
        <f aca="false">(K4-K3)&amp;" Days to Expiry"</f>
        <v>30 Days to Expiry</v>
      </c>
      <c r="N4" s="7" t="s">
        <v>1</v>
      </c>
      <c r="O4" s="10" t="n">
        <f aca="false">O3+30</f>
        <v>45596</v>
      </c>
      <c r="P4" s="11" t="str">
        <f aca="false">(O4-O3)&amp;" Days to Expiry"</f>
        <v>30 Days to Expiry</v>
      </c>
      <c r="R4" s="7" t="s">
        <v>1</v>
      </c>
      <c r="S4" s="10" t="n">
        <f aca="false">S3+30</f>
        <v>45596</v>
      </c>
      <c r="T4" s="11" t="str">
        <f aca="false">(S4-S3)&amp;" Days to Expiry"</f>
        <v>30 Days to Expiry</v>
      </c>
      <c r="V4" s="7" t="s">
        <v>1</v>
      </c>
      <c r="W4" s="10" t="n">
        <f aca="false">W3+30</f>
        <v>45596</v>
      </c>
      <c r="X4" s="11" t="str">
        <f aca="false">(W4-W3)&amp;" Days to Expiry"</f>
        <v>30 Days to Expiry</v>
      </c>
      <c r="Z4" s="7" t="s">
        <v>1</v>
      </c>
      <c r="AA4" s="10" t="n">
        <f aca="false">AA3+30</f>
        <v>45596</v>
      </c>
      <c r="AB4" s="11" t="str">
        <f aca="false">(AA4-AA3)&amp;" Days to Expiry"</f>
        <v>30 Days to Expiry</v>
      </c>
      <c r="AD4" s="7" t="s">
        <v>1</v>
      </c>
      <c r="AE4" s="10" t="n">
        <f aca="false">AE3+30</f>
        <v>45596</v>
      </c>
      <c r="AF4" s="11" t="str">
        <f aca="false">(AE4-AE3)&amp;" Days to Expiry"</f>
        <v>30 Days to Expiry</v>
      </c>
      <c r="AH4" s="7" t="s">
        <v>1</v>
      </c>
      <c r="AI4" s="10" t="n">
        <f aca="false">AI3+30</f>
        <v>45596</v>
      </c>
      <c r="AJ4" s="11" t="str">
        <f aca="false">(AI4-AI3)&amp;" Days to Expiry"</f>
        <v>30 Days to Expiry</v>
      </c>
      <c r="AL4" s="7" t="s">
        <v>1</v>
      </c>
      <c r="AM4" s="10" t="n">
        <f aca="false">AM3+30</f>
        <v>45596</v>
      </c>
      <c r="AN4" s="11" t="str">
        <f aca="false">(AM4-AM3)&amp;" Days to Expiry"</f>
        <v>30 Days to Expiry</v>
      </c>
      <c r="AP4" s="7" t="s">
        <v>1</v>
      </c>
      <c r="AQ4" s="10" t="n">
        <f aca="false">AQ3+30</f>
        <v>45596</v>
      </c>
      <c r="AR4" s="11" t="str">
        <f aca="false">(AQ4-AQ3)&amp;" Days to Expiry"</f>
        <v>30 Days to Expiry</v>
      </c>
      <c r="AT4" s="7" t="s">
        <v>1</v>
      </c>
      <c r="AU4" s="10" t="n">
        <v>43616</v>
      </c>
      <c r="AV4" s="11" t="str">
        <f aca="false">(AU4-AU3)&amp;" Days to Expiry"</f>
        <v>-1950 Days to Expiry</v>
      </c>
      <c r="AX4" s="7" t="s">
        <v>1</v>
      </c>
      <c r="AY4" s="10" t="n">
        <v>43819</v>
      </c>
      <c r="AZ4" s="11" t="str">
        <f aca="false">(AY4-AY3)&amp;" Days to Expiry"</f>
        <v>-1747 Days to Expiry</v>
      </c>
      <c r="BB4" s="7" t="s">
        <v>1</v>
      </c>
      <c r="BC4" s="10" t="n">
        <v>43572</v>
      </c>
      <c r="BD4" s="11" t="str">
        <f aca="false">(BC4-BC3)&amp;" Days to Expiry"</f>
        <v>-1993 Days to Expiry</v>
      </c>
      <c r="BF4" s="7" t="s">
        <v>1</v>
      </c>
      <c r="BG4" s="10" t="n">
        <v>45611</v>
      </c>
      <c r="BH4" s="11" t="str">
        <f aca="false">(BG4-BG3)&amp;" Days to Expiry"</f>
        <v>46 Days to Expiry</v>
      </c>
      <c r="BJ4" s="7" t="s">
        <v>1</v>
      </c>
      <c r="BK4" s="10" t="n">
        <v>44365</v>
      </c>
      <c r="BL4" s="11" t="str">
        <f aca="false">(BK4-BK3)&amp;" Days to Expiry"</f>
        <v>-1200 Days to Expiry</v>
      </c>
      <c r="BN4" s="7" t="s">
        <v>1</v>
      </c>
      <c r="BO4" s="10" t="n">
        <v>44362</v>
      </c>
      <c r="BP4" s="11" t="str">
        <f aca="false">(BO4-BO3)&amp;" Days to Expiry"</f>
        <v>-1203 Days to Expiry</v>
      </c>
    </row>
    <row r="5" customFormat="false" ht="12" hidden="false" customHeight="true" outlineLevel="0" collapsed="false">
      <c r="B5" s="7"/>
      <c r="C5" s="8"/>
      <c r="D5" s="11"/>
      <c r="F5" s="7"/>
      <c r="G5" s="8"/>
      <c r="H5" s="9"/>
      <c r="J5" s="7"/>
      <c r="K5" s="8"/>
      <c r="L5" s="9"/>
      <c r="N5" s="7"/>
      <c r="O5" s="8"/>
      <c r="P5" s="9"/>
      <c r="R5" s="7"/>
      <c r="S5" s="8"/>
      <c r="T5" s="9"/>
      <c r="V5" s="7"/>
      <c r="W5" s="8"/>
      <c r="X5" s="9"/>
      <c r="Z5" s="7"/>
      <c r="AA5" s="8"/>
      <c r="AB5" s="9"/>
      <c r="AD5" s="7"/>
      <c r="AE5" s="8"/>
      <c r="AF5" s="9"/>
      <c r="AH5" s="7"/>
      <c r="AI5" s="8"/>
      <c r="AJ5" s="9"/>
      <c r="AL5" s="7"/>
      <c r="AM5" s="8"/>
      <c r="AN5" s="9"/>
      <c r="AP5" s="7"/>
      <c r="AQ5" s="8"/>
      <c r="AR5" s="9"/>
      <c r="AT5" s="7"/>
      <c r="AU5" s="8"/>
      <c r="AV5" s="9"/>
      <c r="AX5" s="7"/>
      <c r="AY5" s="8"/>
      <c r="AZ5" s="9"/>
      <c r="BB5" s="7"/>
      <c r="BC5" s="8"/>
      <c r="BD5" s="9"/>
      <c r="BF5" s="7"/>
      <c r="BG5" s="8"/>
      <c r="BH5" s="9"/>
      <c r="BJ5" s="7"/>
      <c r="BK5" s="8"/>
      <c r="BL5" s="9"/>
      <c r="BN5" s="7"/>
      <c r="BO5" s="8"/>
      <c r="BP5" s="9"/>
    </row>
    <row r="6" customFormat="false" ht="12" hidden="false" customHeight="true" outlineLevel="0" collapsed="false">
      <c r="B6" s="7" t="s">
        <v>2</v>
      </c>
      <c r="C6" s="12" t="n">
        <v>47.26</v>
      </c>
      <c r="D6" s="9"/>
      <c r="F6" s="7" t="s">
        <v>2</v>
      </c>
      <c r="G6" s="12" t="e">
        <f aca="false">#REF!</f>
        <v>#REF!</v>
      </c>
      <c r="H6" s="9"/>
      <c r="J6" s="7" t="s">
        <v>2</v>
      </c>
      <c r="K6" s="12" t="n">
        <v>79.5</v>
      </c>
      <c r="L6" s="9"/>
      <c r="N6" s="7" t="s">
        <v>2</v>
      </c>
      <c r="O6" s="12" t="n">
        <v>160.1</v>
      </c>
      <c r="P6" s="9"/>
      <c r="R6" s="7" t="s">
        <v>2</v>
      </c>
      <c r="S6" s="12" t="n">
        <v>42.46</v>
      </c>
      <c r="T6" s="9"/>
      <c r="V6" s="7" t="s">
        <v>2</v>
      </c>
      <c r="W6" s="12" t="n">
        <v>63.15</v>
      </c>
      <c r="X6" s="9"/>
      <c r="Z6" s="7" t="s">
        <v>2</v>
      </c>
      <c r="AA6" s="12" t="n">
        <v>57.63</v>
      </c>
      <c r="AB6" s="9"/>
      <c r="AD6" s="7" t="s">
        <v>2</v>
      </c>
      <c r="AE6" s="12" t="n">
        <v>31.02</v>
      </c>
      <c r="AF6" s="9"/>
      <c r="AH6" s="7" t="s">
        <v>2</v>
      </c>
      <c r="AI6" s="12" t="n">
        <v>32.83</v>
      </c>
      <c r="AJ6" s="9"/>
      <c r="AL6" s="7" t="s">
        <v>2</v>
      </c>
      <c r="AM6" s="12" t="n">
        <v>39.61</v>
      </c>
      <c r="AN6" s="9"/>
      <c r="AP6" s="7" t="s">
        <v>2</v>
      </c>
      <c r="AQ6" s="12" t="n">
        <v>37.38</v>
      </c>
      <c r="AR6" s="9"/>
      <c r="AT6" s="7" t="s">
        <v>2</v>
      </c>
      <c r="AU6" s="12" t="n">
        <v>157.3</v>
      </c>
      <c r="AV6" s="9"/>
      <c r="AX6" s="7" t="s">
        <v>2</v>
      </c>
      <c r="AY6" s="12" t="n">
        <v>85.78</v>
      </c>
      <c r="AZ6" s="9"/>
      <c r="BB6" s="7" t="s">
        <v>2</v>
      </c>
      <c r="BC6" s="12" t="n">
        <v>18.04</v>
      </c>
      <c r="BD6" s="9"/>
      <c r="BF6" s="7" t="s">
        <v>2</v>
      </c>
      <c r="BG6" s="12" t="n">
        <v>174.66</v>
      </c>
      <c r="BH6" s="9"/>
      <c r="BJ6" s="7" t="s">
        <v>2</v>
      </c>
      <c r="BK6" s="12" t="n">
        <v>55.67</v>
      </c>
      <c r="BL6" s="9"/>
      <c r="BN6" s="7" t="s">
        <v>2</v>
      </c>
      <c r="BO6" s="12" t="n">
        <v>55.67</v>
      </c>
      <c r="BP6" s="9"/>
    </row>
    <row r="7" customFormat="false" ht="12" hidden="false" customHeight="true" outlineLevel="0" collapsed="false">
      <c r="B7" s="7"/>
      <c r="C7" s="13"/>
      <c r="D7" s="9"/>
      <c r="F7" s="7"/>
      <c r="G7" s="13"/>
      <c r="H7" s="9"/>
      <c r="J7" s="7"/>
      <c r="K7" s="13"/>
      <c r="L7" s="9"/>
      <c r="N7" s="7"/>
      <c r="O7" s="13"/>
      <c r="P7" s="9"/>
      <c r="R7" s="7"/>
      <c r="S7" s="13"/>
      <c r="T7" s="9"/>
      <c r="V7" s="7"/>
      <c r="W7" s="13"/>
      <c r="X7" s="9"/>
      <c r="Z7" s="7"/>
      <c r="AA7" s="13"/>
      <c r="AB7" s="9"/>
      <c r="AD7" s="7"/>
      <c r="AE7" s="13"/>
      <c r="AF7" s="9"/>
      <c r="AH7" s="7"/>
      <c r="AI7" s="13"/>
      <c r="AJ7" s="9"/>
      <c r="AL7" s="7"/>
      <c r="AM7" s="13"/>
      <c r="AN7" s="9"/>
      <c r="AP7" s="7"/>
      <c r="AQ7" s="13"/>
      <c r="AR7" s="9"/>
      <c r="AT7" s="7"/>
      <c r="AU7" s="13"/>
      <c r="AV7" s="9"/>
      <c r="AX7" s="7"/>
      <c r="AY7" s="13"/>
      <c r="AZ7" s="9"/>
      <c r="BB7" s="7"/>
      <c r="BC7" s="13"/>
      <c r="BD7" s="9"/>
      <c r="BF7" s="7"/>
      <c r="BG7" s="13"/>
      <c r="BH7" s="9"/>
      <c r="BJ7" s="7"/>
      <c r="BK7" s="13"/>
      <c r="BL7" s="9"/>
      <c r="BN7" s="7"/>
      <c r="BO7" s="13"/>
      <c r="BP7" s="9"/>
    </row>
    <row r="8" customFormat="false" ht="15" hidden="false" customHeight="false" outlineLevel="0" collapsed="false">
      <c r="B8" s="7" t="s">
        <v>3</v>
      </c>
      <c r="C8" s="12" t="n">
        <v>47</v>
      </c>
      <c r="D8" s="9"/>
      <c r="F8" s="7" t="s">
        <v>3</v>
      </c>
      <c r="G8" s="12" t="n">
        <v>95</v>
      </c>
      <c r="H8" s="9"/>
      <c r="J8" s="7" t="s">
        <v>3</v>
      </c>
      <c r="K8" s="12" t="n">
        <v>75</v>
      </c>
      <c r="L8" s="9"/>
      <c r="N8" s="7" t="s">
        <v>3</v>
      </c>
      <c r="O8" s="12" t="n">
        <v>160</v>
      </c>
      <c r="P8" s="9"/>
      <c r="R8" s="7" t="s">
        <v>3</v>
      </c>
      <c r="S8" s="12" t="n">
        <v>42</v>
      </c>
      <c r="T8" s="9"/>
      <c r="V8" s="7" t="s">
        <v>3</v>
      </c>
      <c r="W8" s="12" t="n">
        <v>62.5</v>
      </c>
      <c r="X8" s="9"/>
      <c r="Z8" s="7" t="s">
        <v>3</v>
      </c>
      <c r="AA8" s="12" t="n">
        <v>57.5</v>
      </c>
      <c r="AB8" s="9"/>
      <c r="AD8" s="7" t="s">
        <v>3</v>
      </c>
      <c r="AE8" s="12" t="n">
        <v>30</v>
      </c>
      <c r="AF8" s="9"/>
      <c r="AH8" s="7" t="s">
        <v>3</v>
      </c>
      <c r="AI8" s="12" t="n">
        <v>31</v>
      </c>
      <c r="AJ8" s="9"/>
      <c r="AL8" s="7" t="s">
        <v>3</v>
      </c>
      <c r="AM8" s="12" t="n">
        <v>38</v>
      </c>
      <c r="AN8" s="9"/>
      <c r="AP8" s="7" t="s">
        <v>3</v>
      </c>
      <c r="AQ8" s="12" t="n">
        <v>35</v>
      </c>
      <c r="AR8" s="9"/>
      <c r="AT8" s="7" t="s">
        <v>3</v>
      </c>
      <c r="AU8" s="12" t="n">
        <v>145</v>
      </c>
      <c r="AV8" s="9"/>
      <c r="AX8" s="7" t="s">
        <v>3</v>
      </c>
      <c r="AY8" s="12" t="n">
        <v>83</v>
      </c>
      <c r="AZ8" s="9"/>
      <c r="BB8" s="7" t="s">
        <v>3</v>
      </c>
      <c r="BC8" s="12" t="n">
        <v>17</v>
      </c>
      <c r="BD8" s="9"/>
      <c r="BF8" s="7" t="s">
        <v>3</v>
      </c>
      <c r="BG8" s="12" t="n">
        <v>170</v>
      </c>
      <c r="BH8" s="9"/>
      <c r="BJ8" s="7" t="s">
        <v>3</v>
      </c>
      <c r="BK8" s="12" t="n">
        <v>55</v>
      </c>
      <c r="BL8" s="9"/>
      <c r="BN8" s="7" t="s">
        <v>3</v>
      </c>
      <c r="BO8" s="12" t="n">
        <v>45</v>
      </c>
      <c r="BP8" s="9"/>
    </row>
    <row r="9" customFormat="false" ht="4.5" hidden="false" customHeight="true" outlineLevel="0" collapsed="false">
      <c r="B9" s="7"/>
      <c r="C9" s="13"/>
      <c r="D9" s="9"/>
      <c r="F9" s="7"/>
      <c r="G9" s="13"/>
      <c r="H9" s="9"/>
      <c r="J9" s="7"/>
      <c r="K9" s="13"/>
      <c r="L9" s="9"/>
      <c r="N9" s="7"/>
      <c r="O9" s="13"/>
      <c r="P9" s="9"/>
      <c r="R9" s="7"/>
      <c r="S9" s="13"/>
      <c r="T9" s="9"/>
      <c r="V9" s="7"/>
      <c r="W9" s="13"/>
      <c r="X9" s="9"/>
      <c r="Z9" s="7"/>
      <c r="AA9" s="13"/>
      <c r="AB9" s="9"/>
      <c r="AD9" s="7"/>
      <c r="AE9" s="13"/>
      <c r="AF9" s="9"/>
      <c r="AH9" s="7"/>
      <c r="AI9" s="13"/>
      <c r="AJ9" s="9"/>
      <c r="AL9" s="7"/>
      <c r="AM9" s="13"/>
      <c r="AN9" s="9"/>
      <c r="AP9" s="7"/>
      <c r="AQ9" s="13"/>
      <c r="AR9" s="9"/>
      <c r="AT9" s="7"/>
      <c r="AU9" s="13"/>
      <c r="AV9" s="9"/>
      <c r="AX9" s="7"/>
      <c r="AY9" s="13"/>
      <c r="AZ9" s="9"/>
      <c r="BB9" s="7"/>
      <c r="BC9" s="13"/>
      <c r="BD9" s="9"/>
      <c r="BF9" s="7"/>
      <c r="BG9" s="13"/>
      <c r="BH9" s="9"/>
      <c r="BJ9" s="7"/>
      <c r="BK9" s="13"/>
      <c r="BL9" s="9"/>
      <c r="BN9" s="7"/>
      <c r="BO9" s="13" t="n">
        <v>8</v>
      </c>
      <c r="BP9" s="9"/>
    </row>
    <row r="10" customFormat="false" ht="15" hidden="false" customHeight="false" outlineLevel="0" collapsed="false">
      <c r="B10" s="7" t="s">
        <v>4</v>
      </c>
      <c r="C10" s="12" t="n">
        <v>1.51</v>
      </c>
      <c r="D10" s="9"/>
      <c r="F10" s="7" t="s">
        <v>4</v>
      </c>
      <c r="G10" s="12" t="n">
        <v>2.95</v>
      </c>
      <c r="H10" s="9"/>
      <c r="J10" s="7" t="s">
        <v>4</v>
      </c>
      <c r="K10" s="12" t="n">
        <v>2.05</v>
      </c>
      <c r="L10" s="9"/>
      <c r="N10" s="7" t="s">
        <v>4</v>
      </c>
      <c r="O10" s="12" t="n">
        <v>6.15</v>
      </c>
      <c r="P10" s="9"/>
      <c r="R10" s="7" t="s">
        <v>4</v>
      </c>
      <c r="S10" s="12" t="n">
        <v>1.32</v>
      </c>
      <c r="T10" s="9"/>
      <c r="V10" s="7" t="s">
        <v>4</v>
      </c>
      <c r="W10" s="12" t="n">
        <v>1.97</v>
      </c>
      <c r="X10" s="9"/>
      <c r="Z10" s="7" t="s">
        <v>4</v>
      </c>
      <c r="AA10" s="12" t="n">
        <v>2.17</v>
      </c>
      <c r="AB10" s="9"/>
      <c r="AD10" s="7" t="s">
        <v>4</v>
      </c>
      <c r="AE10" s="12" t="n">
        <v>0.75</v>
      </c>
      <c r="AF10" s="9"/>
      <c r="AH10" s="7" t="s">
        <v>4</v>
      </c>
      <c r="AI10" s="12" t="n">
        <v>1.02</v>
      </c>
      <c r="AJ10" s="9"/>
      <c r="AL10" s="7" t="s">
        <v>4</v>
      </c>
      <c r="AM10" s="12" t="n">
        <v>0.82</v>
      </c>
      <c r="AN10" s="9"/>
      <c r="AP10" s="7" t="s">
        <v>4</v>
      </c>
      <c r="AQ10" s="12" t="n">
        <v>2.4</v>
      </c>
      <c r="AR10" s="9"/>
      <c r="AT10" s="7" t="s">
        <v>4</v>
      </c>
      <c r="AU10" s="12" t="n">
        <v>0.61</v>
      </c>
      <c r="AV10" s="9"/>
      <c r="AX10" s="7" t="s">
        <v>4</v>
      </c>
      <c r="AY10" s="12" t="n">
        <v>3.03</v>
      </c>
      <c r="AZ10" s="9"/>
      <c r="BB10" s="7" t="s">
        <v>4</v>
      </c>
      <c r="BC10" s="12" t="n">
        <v>1</v>
      </c>
      <c r="BD10" s="9"/>
      <c r="BF10" s="7" t="s">
        <v>4</v>
      </c>
      <c r="BG10" s="12" t="n">
        <v>2.75</v>
      </c>
      <c r="BH10" s="9"/>
      <c r="BJ10" s="7" t="s">
        <v>4</v>
      </c>
      <c r="BK10" s="12" t="n">
        <v>2.99</v>
      </c>
      <c r="BL10" s="9"/>
      <c r="BN10" s="7" t="s">
        <v>4</v>
      </c>
      <c r="BO10" s="12" t="n">
        <v>0.74</v>
      </c>
      <c r="BP10" s="9"/>
    </row>
    <row r="11" customFormat="false" ht="4.5" hidden="false" customHeight="true" outlineLevel="0" collapsed="false">
      <c r="B11" s="7"/>
      <c r="C11" s="13"/>
      <c r="D11" s="9"/>
      <c r="F11" s="7"/>
      <c r="G11" s="13"/>
      <c r="H11" s="9"/>
      <c r="J11" s="7"/>
      <c r="K11" s="13"/>
      <c r="L11" s="9"/>
      <c r="N11" s="7"/>
      <c r="O11" s="13"/>
      <c r="P11" s="9"/>
      <c r="R11" s="7"/>
      <c r="S11" s="13"/>
      <c r="T11" s="9"/>
      <c r="V11" s="7"/>
      <c r="W11" s="13"/>
      <c r="X11" s="9"/>
      <c r="Z11" s="7"/>
      <c r="AA11" s="13"/>
      <c r="AB11" s="9"/>
      <c r="AD11" s="7"/>
      <c r="AE11" s="13"/>
      <c r="AF11" s="9"/>
      <c r="AH11" s="7"/>
      <c r="AI11" s="13"/>
      <c r="AJ11" s="9"/>
      <c r="AL11" s="7"/>
      <c r="AM11" s="13"/>
      <c r="AN11" s="9"/>
      <c r="AP11" s="7"/>
      <c r="AQ11" s="13"/>
      <c r="AR11" s="9"/>
      <c r="AT11" s="7"/>
      <c r="AU11" s="13"/>
      <c r="AV11" s="9"/>
      <c r="AX11" s="7"/>
      <c r="AY11" s="13"/>
      <c r="AZ11" s="9"/>
      <c r="BB11" s="7"/>
      <c r="BC11" s="13"/>
      <c r="BD11" s="9"/>
      <c r="BF11" s="7"/>
      <c r="BG11" s="13"/>
      <c r="BH11" s="9"/>
      <c r="BJ11" s="7"/>
      <c r="BK11" s="13"/>
      <c r="BL11" s="9"/>
      <c r="BN11" s="7"/>
      <c r="BO11" s="13"/>
      <c r="BP11" s="9"/>
    </row>
    <row r="12" customFormat="false" ht="15" hidden="false" customHeight="false" outlineLevel="0" collapsed="false">
      <c r="B12" s="7" t="s">
        <v>5</v>
      </c>
      <c r="C12" s="14" t="n">
        <v>1</v>
      </c>
      <c r="D12" s="9"/>
      <c r="F12" s="7" t="s">
        <v>5</v>
      </c>
      <c r="G12" s="14" t="n">
        <v>1</v>
      </c>
      <c r="H12" s="9"/>
      <c r="J12" s="7" t="s">
        <v>5</v>
      </c>
      <c r="K12" s="14" t="n">
        <v>1</v>
      </c>
      <c r="L12" s="9"/>
      <c r="N12" s="7" t="s">
        <v>5</v>
      </c>
      <c r="O12" s="14" t="n">
        <v>1</v>
      </c>
      <c r="P12" s="9"/>
      <c r="R12" s="7" t="s">
        <v>5</v>
      </c>
      <c r="S12" s="14" t="n">
        <v>1</v>
      </c>
      <c r="T12" s="9"/>
      <c r="V12" s="7" t="s">
        <v>5</v>
      </c>
      <c r="W12" s="14" t="n">
        <v>1</v>
      </c>
      <c r="X12" s="9"/>
      <c r="Z12" s="7" t="s">
        <v>5</v>
      </c>
      <c r="AA12" s="14" t="n">
        <v>1</v>
      </c>
      <c r="AB12" s="9"/>
      <c r="AD12" s="7" t="s">
        <v>5</v>
      </c>
      <c r="AE12" s="14" t="n">
        <v>2</v>
      </c>
      <c r="AF12" s="9"/>
      <c r="AH12" s="7" t="s">
        <v>5</v>
      </c>
      <c r="AI12" s="14" t="n">
        <v>1</v>
      </c>
      <c r="AJ12" s="9"/>
      <c r="AL12" s="7" t="s">
        <v>5</v>
      </c>
      <c r="AM12" s="14" t="n">
        <v>1</v>
      </c>
      <c r="AN12" s="9"/>
      <c r="AP12" s="7" t="s">
        <v>5</v>
      </c>
      <c r="AQ12" s="14" t="n">
        <v>1</v>
      </c>
      <c r="AR12" s="9"/>
      <c r="AT12" s="7" t="s">
        <v>5</v>
      </c>
      <c r="AU12" s="14" t="n">
        <v>1</v>
      </c>
      <c r="AV12" s="9"/>
      <c r="AX12" s="7" t="s">
        <v>5</v>
      </c>
      <c r="AY12" s="14" t="n">
        <v>2</v>
      </c>
      <c r="AZ12" s="9"/>
      <c r="BB12" s="7" t="s">
        <v>5</v>
      </c>
      <c r="BC12" s="14" t="n">
        <v>1.1</v>
      </c>
      <c r="BD12" s="9"/>
      <c r="BF12" s="7" t="s">
        <v>5</v>
      </c>
      <c r="BG12" s="14" t="n">
        <v>2</v>
      </c>
      <c r="BH12" s="9"/>
      <c r="BJ12" s="7" t="s">
        <v>5</v>
      </c>
      <c r="BK12" s="14" t="n">
        <v>1</v>
      </c>
      <c r="BL12" s="9"/>
      <c r="BN12" s="7" t="s">
        <v>5</v>
      </c>
      <c r="BO12" s="14" t="n">
        <v>1</v>
      </c>
      <c r="BP12" s="9"/>
    </row>
    <row r="13" customFormat="false" ht="4.5" hidden="false" customHeight="true" outlineLevel="0" collapsed="false">
      <c r="B13" s="7"/>
      <c r="C13" s="13"/>
      <c r="D13" s="9"/>
      <c r="F13" s="7"/>
      <c r="G13" s="13"/>
      <c r="H13" s="9"/>
      <c r="J13" s="7"/>
      <c r="K13" s="13"/>
      <c r="L13" s="9"/>
      <c r="N13" s="7"/>
      <c r="O13" s="13"/>
      <c r="P13" s="9"/>
      <c r="R13" s="7"/>
      <c r="S13" s="13"/>
      <c r="T13" s="9"/>
      <c r="V13" s="7"/>
      <c r="W13" s="13"/>
      <c r="X13" s="9"/>
      <c r="Z13" s="7"/>
      <c r="AA13" s="13"/>
      <c r="AB13" s="9"/>
      <c r="AD13" s="7"/>
      <c r="AE13" s="13"/>
      <c r="AF13" s="9"/>
      <c r="AH13" s="7"/>
      <c r="AI13" s="13"/>
      <c r="AJ13" s="9"/>
      <c r="AL13" s="7"/>
      <c r="AM13" s="13"/>
      <c r="AN13" s="9"/>
      <c r="AP13" s="7"/>
      <c r="AQ13" s="13"/>
      <c r="AR13" s="9"/>
      <c r="AT13" s="7"/>
      <c r="AU13" s="13"/>
      <c r="AV13" s="9"/>
      <c r="AX13" s="7"/>
      <c r="AY13" s="13"/>
      <c r="AZ13" s="9"/>
      <c r="BB13" s="7"/>
      <c r="BC13" s="13"/>
      <c r="BD13" s="9"/>
      <c r="BF13" s="7"/>
      <c r="BG13" s="13"/>
      <c r="BH13" s="9"/>
      <c r="BJ13" s="7"/>
      <c r="BK13" s="13"/>
      <c r="BL13" s="9"/>
      <c r="BN13" s="7"/>
      <c r="BO13" s="13"/>
      <c r="BP13" s="9"/>
    </row>
    <row r="14" customFormat="false" ht="15" hidden="false" customHeight="false" outlineLevel="0" collapsed="false">
      <c r="B14" s="7" t="s">
        <v>6</v>
      </c>
      <c r="C14" s="13" t="n">
        <f aca="false">C10*100*C12</f>
        <v>151</v>
      </c>
      <c r="D14" s="9"/>
      <c r="F14" s="7" t="s">
        <v>6</v>
      </c>
      <c r="G14" s="13" t="n">
        <f aca="false">G10*100*G12</f>
        <v>295</v>
      </c>
      <c r="H14" s="9"/>
      <c r="J14" s="7" t="s">
        <v>6</v>
      </c>
      <c r="K14" s="13" t="n">
        <f aca="false">K10*100*K12</f>
        <v>205</v>
      </c>
      <c r="L14" s="9"/>
      <c r="N14" s="7" t="s">
        <v>6</v>
      </c>
      <c r="O14" s="13" t="n">
        <f aca="false">O10*100*O12</f>
        <v>615</v>
      </c>
      <c r="P14" s="9"/>
      <c r="R14" s="7" t="s">
        <v>6</v>
      </c>
      <c r="S14" s="13" t="n">
        <f aca="false">S10*100*S12</f>
        <v>132</v>
      </c>
      <c r="T14" s="9"/>
      <c r="V14" s="7" t="s">
        <v>6</v>
      </c>
      <c r="W14" s="13" t="n">
        <f aca="false">W10*100*W12</f>
        <v>197</v>
      </c>
      <c r="X14" s="9"/>
      <c r="Z14" s="7" t="s">
        <v>6</v>
      </c>
      <c r="AA14" s="13" t="n">
        <f aca="false">AA10*100*AA12</f>
        <v>217</v>
      </c>
      <c r="AB14" s="9"/>
      <c r="AD14" s="7" t="s">
        <v>6</v>
      </c>
      <c r="AE14" s="13" t="n">
        <f aca="false">AE10*100*AE12</f>
        <v>150</v>
      </c>
      <c r="AF14" s="9"/>
      <c r="AH14" s="7" t="s">
        <v>6</v>
      </c>
      <c r="AI14" s="13" t="n">
        <f aca="false">AI10*100*AI12</f>
        <v>102</v>
      </c>
      <c r="AJ14" s="9"/>
      <c r="AL14" s="7" t="s">
        <v>6</v>
      </c>
      <c r="AM14" s="13" t="n">
        <f aca="false">AM10*100*AM12</f>
        <v>82</v>
      </c>
      <c r="AN14" s="9"/>
      <c r="AP14" s="7" t="s">
        <v>6</v>
      </c>
      <c r="AQ14" s="13" t="n">
        <f aca="false">AQ10*100*AQ12</f>
        <v>240</v>
      </c>
      <c r="AR14" s="9"/>
      <c r="AT14" s="7" t="s">
        <v>6</v>
      </c>
      <c r="AU14" s="13" t="n">
        <f aca="false">AU10*100*AU12</f>
        <v>61</v>
      </c>
      <c r="AV14" s="9"/>
      <c r="AX14" s="7" t="s">
        <v>6</v>
      </c>
      <c r="AY14" s="13" t="n">
        <f aca="false">AY10*100*AY12</f>
        <v>606</v>
      </c>
      <c r="AZ14" s="9"/>
      <c r="BB14" s="7" t="s">
        <v>6</v>
      </c>
      <c r="BC14" s="13" t="n">
        <f aca="false">BC10*100*BC12</f>
        <v>110</v>
      </c>
      <c r="BD14" s="9"/>
      <c r="BF14" s="7" t="s">
        <v>6</v>
      </c>
      <c r="BG14" s="13" t="n">
        <f aca="false">BG10*100*BG12</f>
        <v>550</v>
      </c>
      <c r="BH14" s="9"/>
      <c r="BJ14" s="7" t="s">
        <v>6</v>
      </c>
      <c r="BK14" s="13" t="n">
        <f aca="false">BK10*100*BK12</f>
        <v>299</v>
      </c>
      <c r="BL14" s="9"/>
      <c r="BN14" s="7" t="s">
        <v>6</v>
      </c>
      <c r="BO14" s="13" t="n">
        <f aca="false">BO10*100*BO12</f>
        <v>74</v>
      </c>
      <c r="BP14" s="9"/>
    </row>
    <row r="15" customFormat="false" ht="4.5" hidden="false" customHeight="true" outlineLevel="0" collapsed="false">
      <c r="B15" s="7"/>
      <c r="C15" s="13"/>
      <c r="D15" s="9"/>
      <c r="F15" s="7"/>
      <c r="G15" s="13"/>
      <c r="H15" s="9"/>
      <c r="J15" s="7"/>
      <c r="K15" s="13"/>
      <c r="L15" s="9"/>
      <c r="N15" s="7"/>
      <c r="O15" s="13"/>
      <c r="P15" s="9"/>
      <c r="R15" s="7"/>
      <c r="S15" s="13"/>
      <c r="T15" s="9"/>
      <c r="V15" s="7"/>
      <c r="W15" s="13"/>
      <c r="X15" s="9"/>
      <c r="Z15" s="7"/>
      <c r="AA15" s="13"/>
      <c r="AB15" s="9"/>
      <c r="AD15" s="7"/>
      <c r="AE15" s="13"/>
      <c r="AF15" s="9"/>
      <c r="AH15" s="7"/>
      <c r="AI15" s="13"/>
      <c r="AJ15" s="9"/>
      <c r="AL15" s="7"/>
      <c r="AM15" s="13"/>
      <c r="AN15" s="9"/>
      <c r="AP15" s="7"/>
      <c r="AQ15" s="13"/>
      <c r="AR15" s="9"/>
      <c r="AT15" s="7"/>
      <c r="AU15" s="13"/>
      <c r="AV15" s="9"/>
      <c r="AX15" s="7"/>
      <c r="AY15" s="13"/>
      <c r="AZ15" s="9"/>
      <c r="BB15" s="7"/>
      <c r="BC15" s="13"/>
      <c r="BD15" s="9"/>
      <c r="BF15" s="7"/>
      <c r="BG15" s="13"/>
      <c r="BH15" s="9"/>
      <c r="BJ15" s="7"/>
      <c r="BK15" s="13"/>
      <c r="BL15" s="9"/>
      <c r="BN15" s="7"/>
      <c r="BO15" s="13"/>
      <c r="BP15" s="9"/>
    </row>
    <row r="16" customFormat="false" ht="15" hidden="false" customHeight="false" outlineLevel="0" collapsed="false">
      <c r="B16" s="7" t="s">
        <v>7</v>
      </c>
      <c r="C16" s="13" t="n">
        <f aca="false">C8-C10</f>
        <v>45.49</v>
      </c>
      <c r="D16" s="9"/>
      <c r="F16" s="7" t="s">
        <v>7</v>
      </c>
      <c r="G16" s="13" t="n">
        <f aca="false">G8-G10</f>
        <v>92.05</v>
      </c>
      <c r="H16" s="9"/>
      <c r="J16" s="7" t="s">
        <v>7</v>
      </c>
      <c r="K16" s="13" t="n">
        <f aca="false">K8-K10</f>
        <v>72.95</v>
      </c>
      <c r="L16" s="9"/>
      <c r="N16" s="7" t="s">
        <v>7</v>
      </c>
      <c r="O16" s="13" t="n">
        <f aca="false">O8-O10</f>
        <v>153.85</v>
      </c>
      <c r="P16" s="9"/>
      <c r="R16" s="7" t="s">
        <v>7</v>
      </c>
      <c r="S16" s="13" t="n">
        <f aca="false">S8-S10</f>
        <v>40.68</v>
      </c>
      <c r="T16" s="9"/>
      <c r="V16" s="7" t="s">
        <v>7</v>
      </c>
      <c r="W16" s="13" t="n">
        <f aca="false">W8-W10</f>
        <v>60.53</v>
      </c>
      <c r="X16" s="9"/>
      <c r="Z16" s="7" t="s">
        <v>7</v>
      </c>
      <c r="AA16" s="13" t="n">
        <f aca="false">AA8-AA10</f>
        <v>55.33</v>
      </c>
      <c r="AB16" s="9"/>
      <c r="AD16" s="7" t="s">
        <v>7</v>
      </c>
      <c r="AE16" s="13" t="n">
        <f aca="false">AE8-AE10</f>
        <v>29.25</v>
      </c>
      <c r="AF16" s="9"/>
      <c r="AH16" s="7" t="s">
        <v>7</v>
      </c>
      <c r="AI16" s="13" t="n">
        <f aca="false">AI8-AI10</f>
        <v>29.98</v>
      </c>
      <c r="AJ16" s="9"/>
      <c r="AL16" s="7" t="s">
        <v>7</v>
      </c>
      <c r="AM16" s="13" t="n">
        <f aca="false">AM8-AM10</f>
        <v>37.18</v>
      </c>
      <c r="AN16" s="9"/>
      <c r="AP16" s="7" t="s">
        <v>7</v>
      </c>
      <c r="AQ16" s="13" t="n">
        <f aca="false">AQ8-AQ10</f>
        <v>32.6</v>
      </c>
      <c r="AR16" s="9"/>
      <c r="AT16" s="7" t="s">
        <v>7</v>
      </c>
      <c r="AU16" s="13" t="n">
        <f aca="false">AU8-AU10</f>
        <v>144.39</v>
      </c>
      <c r="AV16" s="9"/>
      <c r="AX16" s="7" t="s">
        <v>7</v>
      </c>
      <c r="AY16" s="13" t="n">
        <f aca="false">AY8-AY10</f>
        <v>79.97</v>
      </c>
      <c r="AZ16" s="9"/>
      <c r="BB16" s="7" t="s">
        <v>7</v>
      </c>
      <c r="BC16" s="13" t="n">
        <f aca="false">BC8-BC10</f>
        <v>16</v>
      </c>
      <c r="BD16" s="9"/>
      <c r="BF16" s="7" t="s">
        <v>7</v>
      </c>
      <c r="BG16" s="13" t="n">
        <f aca="false">BG8-BG10</f>
        <v>167.25</v>
      </c>
      <c r="BH16" s="9"/>
      <c r="BJ16" s="7" t="s">
        <v>7</v>
      </c>
      <c r="BK16" s="13" t="n">
        <f aca="false">BK8-BK10</f>
        <v>52.01</v>
      </c>
      <c r="BL16" s="9"/>
      <c r="BN16" s="7" t="s">
        <v>7</v>
      </c>
      <c r="BO16" s="13" t="n">
        <f aca="false">BO8-BO10</f>
        <v>44.26</v>
      </c>
      <c r="BP16" s="9"/>
    </row>
    <row r="17" customFormat="false" ht="4.5" hidden="false" customHeight="true" outlineLevel="0" collapsed="false">
      <c r="B17" s="7"/>
      <c r="C17" s="13"/>
      <c r="D17" s="9"/>
      <c r="F17" s="7"/>
      <c r="G17" s="13"/>
      <c r="H17" s="9"/>
      <c r="J17" s="7"/>
      <c r="K17" s="13"/>
      <c r="L17" s="9"/>
      <c r="N17" s="7"/>
      <c r="O17" s="13"/>
      <c r="P17" s="9"/>
      <c r="R17" s="7"/>
      <c r="S17" s="13"/>
      <c r="T17" s="9"/>
      <c r="V17" s="7"/>
      <c r="W17" s="13"/>
      <c r="X17" s="9"/>
      <c r="Z17" s="7"/>
      <c r="AA17" s="13"/>
      <c r="AB17" s="9"/>
      <c r="AD17" s="7"/>
      <c r="AE17" s="13"/>
      <c r="AF17" s="9"/>
      <c r="AH17" s="7"/>
      <c r="AI17" s="13"/>
      <c r="AJ17" s="9"/>
      <c r="AL17" s="7"/>
      <c r="AM17" s="13"/>
      <c r="AN17" s="9"/>
      <c r="AP17" s="7"/>
      <c r="AQ17" s="13"/>
      <c r="AR17" s="9"/>
      <c r="AT17" s="7"/>
      <c r="AU17" s="13"/>
      <c r="AV17" s="9"/>
      <c r="AX17" s="7"/>
      <c r="AY17" s="13"/>
      <c r="AZ17" s="9"/>
      <c r="BB17" s="7"/>
      <c r="BC17" s="13"/>
      <c r="BD17" s="9"/>
      <c r="BF17" s="7"/>
      <c r="BG17" s="13"/>
      <c r="BH17" s="9"/>
      <c r="BJ17" s="7"/>
      <c r="BK17" s="13"/>
      <c r="BL17" s="9"/>
      <c r="BN17" s="7"/>
      <c r="BO17" s="13"/>
      <c r="BP17" s="9"/>
    </row>
    <row r="18" customFormat="false" ht="15" hidden="false" customHeight="false" outlineLevel="0" collapsed="false">
      <c r="B18" s="7" t="s">
        <v>8</v>
      </c>
      <c r="C18" s="13" t="n">
        <f aca="false">IF(C8&lt;C6,C10,C6-(C8-C10))</f>
        <v>1.51</v>
      </c>
      <c r="D18" s="9"/>
      <c r="F18" s="7" t="s">
        <v>8</v>
      </c>
      <c r="G18" s="13" t="e">
        <f aca="false">IF(G8&lt;G6,G10,G6-(G8-G10))</f>
        <v>#REF!</v>
      </c>
      <c r="H18" s="9"/>
      <c r="J18" s="7" t="s">
        <v>8</v>
      </c>
      <c r="K18" s="13" t="n">
        <f aca="false">IF(K8&lt;K6,K10,K6-(K8-K10))</f>
        <v>2.05</v>
      </c>
      <c r="L18" s="9"/>
      <c r="N18" s="7" t="s">
        <v>8</v>
      </c>
      <c r="O18" s="13" t="n">
        <f aca="false">IF(O8&lt;O6,O10,O6-(O8-O10))</f>
        <v>6.15</v>
      </c>
      <c r="P18" s="9"/>
      <c r="R18" s="7" t="s">
        <v>8</v>
      </c>
      <c r="S18" s="13" t="n">
        <f aca="false">IF(S8&lt;S6,S10,S6-(S8-S10))</f>
        <v>1.32</v>
      </c>
      <c r="T18" s="9"/>
      <c r="V18" s="7" t="s">
        <v>8</v>
      </c>
      <c r="W18" s="13" t="n">
        <f aca="false">IF(W8&lt;W6,W10,W6-(W8-W10))</f>
        <v>1.97</v>
      </c>
      <c r="X18" s="9"/>
      <c r="Z18" s="7" t="s">
        <v>8</v>
      </c>
      <c r="AA18" s="13" t="n">
        <f aca="false">IF(AA8&lt;AA6,AA10,AA6-(AA8-AA10))</f>
        <v>2.17</v>
      </c>
      <c r="AB18" s="9"/>
      <c r="AD18" s="7" t="s">
        <v>8</v>
      </c>
      <c r="AE18" s="13" t="n">
        <f aca="false">IF(AE8&lt;AE6,AE10,AE6-(AE8-AE10))</f>
        <v>0.75</v>
      </c>
      <c r="AF18" s="9"/>
      <c r="AH18" s="7" t="s">
        <v>8</v>
      </c>
      <c r="AI18" s="13" t="n">
        <f aca="false">IF(AI8&lt;AI6,AI10,AI6-(AI8-AI10))</f>
        <v>1.02</v>
      </c>
      <c r="AJ18" s="9"/>
      <c r="AL18" s="7" t="s">
        <v>8</v>
      </c>
      <c r="AM18" s="13" t="n">
        <f aca="false">IF(AM8&lt;AM6,AM10,AM6-(AM8-AM10))</f>
        <v>0.82</v>
      </c>
      <c r="AN18" s="9"/>
      <c r="AP18" s="7" t="s">
        <v>8</v>
      </c>
      <c r="AQ18" s="13" t="n">
        <f aca="false">IF(AQ8&lt;AQ6,AQ10,AQ6-(AQ8-AQ10))</f>
        <v>2.4</v>
      </c>
      <c r="AR18" s="9"/>
      <c r="AT18" s="7" t="s">
        <v>8</v>
      </c>
      <c r="AU18" s="13" t="n">
        <f aca="false">IF(AU8&lt;AU6,AU10,AU6-(AU8-AU10))</f>
        <v>0.61</v>
      </c>
      <c r="AV18" s="9"/>
      <c r="AX18" s="7" t="s">
        <v>8</v>
      </c>
      <c r="AY18" s="13" t="n">
        <f aca="false">IF(AY8&lt;AY6,AY10,AY6-(AY8-AY10))</f>
        <v>3.03</v>
      </c>
      <c r="AZ18" s="9"/>
      <c r="BB18" s="7" t="s">
        <v>8</v>
      </c>
      <c r="BC18" s="13" t="n">
        <f aca="false">IF(BC8&lt;BC6,BC10,BC6-(BC8-BC10))</f>
        <v>1</v>
      </c>
      <c r="BD18" s="9"/>
      <c r="BF18" s="7" t="s">
        <v>8</v>
      </c>
      <c r="BG18" s="13" t="n">
        <f aca="false">IF(BG8&lt;BG6,BG10,BG6-(BG8-BG10))</f>
        <v>2.75</v>
      </c>
      <c r="BH18" s="9"/>
      <c r="BJ18" s="7" t="s">
        <v>8</v>
      </c>
      <c r="BK18" s="13" t="n">
        <f aca="false">IF(BK8&lt;BK6,BK10,BK6-(BK8-BK10))</f>
        <v>2.99</v>
      </c>
      <c r="BL18" s="9"/>
      <c r="BN18" s="7" t="s">
        <v>8</v>
      </c>
      <c r="BO18" s="13" t="n">
        <f aca="false">IF(BO8&lt;BO6,BO10,BO6-(BO8-BO10))</f>
        <v>0.74</v>
      </c>
      <c r="BP18" s="9"/>
    </row>
    <row r="19" customFormat="false" ht="4.5" hidden="false" customHeight="true" outlineLevel="0" collapsed="false">
      <c r="B19" s="7"/>
      <c r="C19" s="13"/>
      <c r="D19" s="9"/>
      <c r="F19" s="7"/>
      <c r="G19" s="13"/>
      <c r="H19" s="9"/>
      <c r="J19" s="7"/>
      <c r="K19" s="13"/>
      <c r="L19" s="9"/>
      <c r="N19" s="7"/>
      <c r="O19" s="13"/>
      <c r="P19" s="9"/>
      <c r="R19" s="7"/>
      <c r="S19" s="13"/>
      <c r="T19" s="9"/>
      <c r="V19" s="7"/>
      <c r="W19" s="13"/>
      <c r="X19" s="9"/>
      <c r="Z19" s="7"/>
      <c r="AA19" s="13"/>
      <c r="AB19" s="9"/>
      <c r="AD19" s="7"/>
      <c r="AE19" s="13"/>
      <c r="AF19" s="9"/>
      <c r="AH19" s="7"/>
      <c r="AI19" s="13"/>
      <c r="AJ19" s="9"/>
      <c r="AL19" s="7"/>
      <c r="AM19" s="13"/>
      <c r="AN19" s="9"/>
      <c r="AP19" s="7"/>
      <c r="AQ19" s="13"/>
      <c r="AR19" s="9"/>
      <c r="AT19" s="7"/>
      <c r="AU19" s="13"/>
      <c r="AV19" s="9"/>
      <c r="AX19" s="7"/>
      <c r="AY19" s="13"/>
      <c r="AZ19" s="9"/>
      <c r="BB19" s="7"/>
      <c r="BC19" s="13"/>
      <c r="BD19" s="9"/>
      <c r="BF19" s="7"/>
      <c r="BG19" s="13"/>
      <c r="BH19" s="9"/>
      <c r="BJ19" s="7"/>
      <c r="BK19" s="13"/>
      <c r="BL19" s="9"/>
      <c r="BN19" s="7"/>
      <c r="BO19" s="13"/>
      <c r="BP19" s="9"/>
    </row>
    <row r="20" customFormat="false" ht="15" hidden="false" customHeight="false" outlineLevel="0" collapsed="false">
      <c r="B20" s="7" t="s">
        <v>9</v>
      </c>
      <c r="C20" s="13" t="n">
        <f aca="false">C10-C18</f>
        <v>0</v>
      </c>
      <c r="D20" s="9"/>
      <c r="F20" s="7" t="s">
        <v>9</v>
      </c>
      <c r="G20" s="13" t="e">
        <f aca="false">G10-G18</f>
        <v>#REF!</v>
      </c>
      <c r="H20" s="9"/>
      <c r="J20" s="7" t="s">
        <v>9</v>
      </c>
      <c r="K20" s="13" t="n">
        <f aca="false">K10-K18</f>
        <v>0</v>
      </c>
      <c r="L20" s="9"/>
      <c r="N20" s="7" t="s">
        <v>9</v>
      </c>
      <c r="O20" s="13" t="n">
        <f aca="false">O10-O18</f>
        <v>0</v>
      </c>
      <c r="P20" s="9"/>
      <c r="R20" s="7" t="s">
        <v>9</v>
      </c>
      <c r="S20" s="13" t="n">
        <f aca="false">S10-S18</f>
        <v>0</v>
      </c>
      <c r="T20" s="9"/>
      <c r="V20" s="7" t="s">
        <v>9</v>
      </c>
      <c r="W20" s="13" t="n">
        <f aca="false">W10-W18</f>
        <v>0</v>
      </c>
      <c r="X20" s="9"/>
      <c r="Z20" s="7" t="s">
        <v>9</v>
      </c>
      <c r="AA20" s="13" t="n">
        <f aca="false">AA10-AA18</f>
        <v>0</v>
      </c>
      <c r="AB20" s="9"/>
      <c r="AD20" s="7" t="s">
        <v>9</v>
      </c>
      <c r="AE20" s="13" t="n">
        <f aca="false">AE10-AE18</f>
        <v>0</v>
      </c>
      <c r="AF20" s="9"/>
      <c r="AH20" s="7" t="s">
        <v>9</v>
      </c>
      <c r="AI20" s="13" t="n">
        <f aca="false">AI10-AI18</f>
        <v>0</v>
      </c>
      <c r="AJ20" s="9"/>
      <c r="AL20" s="7" t="s">
        <v>9</v>
      </c>
      <c r="AM20" s="13" t="n">
        <f aca="false">AM10-AM18</f>
        <v>0</v>
      </c>
      <c r="AN20" s="9"/>
      <c r="AP20" s="7" t="s">
        <v>9</v>
      </c>
      <c r="AQ20" s="13" t="n">
        <f aca="false">AQ10-AQ18</f>
        <v>0</v>
      </c>
      <c r="AR20" s="9"/>
      <c r="AT20" s="7" t="s">
        <v>9</v>
      </c>
      <c r="AU20" s="13" t="n">
        <f aca="false">AU10-AU18</f>
        <v>0</v>
      </c>
      <c r="AV20" s="9"/>
      <c r="AX20" s="7" t="s">
        <v>9</v>
      </c>
      <c r="AY20" s="13" t="n">
        <f aca="false">AY10-AY18</f>
        <v>0</v>
      </c>
      <c r="AZ20" s="9"/>
      <c r="BB20" s="7" t="s">
        <v>9</v>
      </c>
      <c r="BC20" s="13" t="n">
        <f aca="false">BC10-BC18</f>
        <v>0</v>
      </c>
      <c r="BD20" s="9"/>
      <c r="BF20" s="7" t="s">
        <v>9</v>
      </c>
      <c r="BG20" s="13" t="n">
        <f aca="false">BG10-BG18</f>
        <v>0</v>
      </c>
      <c r="BH20" s="9"/>
      <c r="BJ20" s="7" t="s">
        <v>9</v>
      </c>
      <c r="BK20" s="13" t="n">
        <f aca="false">BK10-BK18</f>
        <v>0</v>
      </c>
      <c r="BL20" s="9"/>
      <c r="BN20" s="7" t="s">
        <v>9</v>
      </c>
      <c r="BO20" s="13" t="n">
        <f aca="false">BO10-BO18</f>
        <v>0</v>
      </c>
      <c r="BP20" s="9"/>
    </row>
    <row r="21" customFormat="false" ht="4.5" hidden="false" customHeight="true" outlineLevel="0" collapsed="false">
      <c r="B21" s="7"/>
      <c r="C21" s="13"/>
      <c r="D21" s="9"/>
      <c r="F21" s="7"/>
      <c r="G21" s="13"/>
      <c r="H21" s="9"/>
      <c r="J21" s="7"/>
      <c r="K21" s="13"/>
      <c r="L21" s="9"/>
      <c r="N21" s="7"/>
      <c r="O21" s="13"/>
      <c r="P21" s="9"/>
      <c r="R21" s="7"/>
      <c r="S21" s="13"/>
      <c r="T21" s="9"/>
      <c r="V21" s="7"/>
      <c r="W21" s="13"/>
      <c r="X21" s="9"/>
      <c r="Z21" s="7"/>
      <c r="AA21" s="13"/>
      <c r="AB21" s="9"/>
      <c r="AD21" s="7"/>
      <c r="AE21" s="13"/>
      <c r="AF21" s="9"/>
      <c r="AH21" s="7"/>
      <c r="AI21" s="13"/>
      <c r="AJ21" s="9"/>
      <c r="AL21" s="7"/>
      <c r="AM21" s="13"/>
      <c r="AN21" s="9"/>
      <c r="AP21" s="7"/>
      <c r="AQ21" s="13"/>
      <c r="AR21" s="9"/>
      <c r="AT21" s="7"/>
      <c r="AU21" s="13"/>
      <c r="AV21" s="9"/>
      <c r="AX21" s="7"/>
      <c r="AY21" s="13"/>
      <c r="AZ21" s="9"/>
      <c r="BB21" s="7"/>
      <c r="BC21" s="13"/>
      <c r="BD21" s="9"/>
      <c r="BF21" s="7"/>
      <c r="BG21" s="13"/>
      <c r="BH21" s="9"/>
      <c r="BJ21" s="7"/>
      <c r="BK21" s="13"/>
      <c r="BL21" s="9"/>
      <c r="BN21" s="7"/>
      <c r="BO21" s="13"/>
      <c r="BP21" s="9"/>
    </row>
    <row r="22" customFormat="false" ht="15" hidden="false" customHeight="false" outlineLevel="0" collapsed="false">
      <c r="B22" s="7" t="s">
        <v>10</v>
      </c>
      <c r="C22" s="15" t="n">
        <f aca="false">C16/C6-1</f>
        <v>-0.0374523910283537</v>
      </c>
      <c r="D22" s="9"/>
      <c r="F22" s="7" t="s">
        <v>10</v>
      </c>
      <c r="G22" s="15" t="e">
        <f aca="false">G16/G6-1</f>
        <v>#REF!</v>
      </c>
      <c r="H22" s="9"/>
      <c r="J22" s="7" t="s">
        <v>10</v>
      </c>
      <c r="K22" s="15" t="n">
        <f aca="false">K16/K6-1</f>
        <v>-0.0823899371069182</v>
      </c>
      <c r="L22" s="9"/>
      <c r="N22" s="7" t="s">
        <v>10</v>
      </c>
      <c r="O22" s="15" t="n">
        <f aca="false">O16/O6-1</f>
        <v>-0.0390381011867583</v>
      </c>
      <c r="P22" s="9"/>
      <c r="R22" s="7" t="s">
        <v>10</v>
      </c>
      <c r="S22" s="15" t="n">
        <f aca="false">S16/S6-1</f>
        <v>-0.041921808761187</v>
      </c>
      <c r="T22" s="9"/>
      <c r="V22" s="7" t="s">
        <v>10</v>
      </c>
      <c r="W22" s="15" t="n">
        <f aca="false">W16/W6-1</f>
        <v>-0.041488519398258</v>
      </c>
      <c r="X22" s="9"/>
      <c r="Z22" s="7" t="s">
        <v>10</v>
      </c>
      <c r="AA22" s="15" t="n">
        <f aca="false">AA16/AA6-1</f>
        <v>-0.0399097692174215</v>
      </c>
      <c r="AB22" s="9"/>
      <c r="AD22" s="7" t="s">
        <v>10</v>
      </c>
      <c r="AE22" s="15" t="n">
        <f aca="false">AE16/AE6-1</f>
        <v>-0.0570599613152805</v>
      </c>
      <c r="AF22" s="9"/>
      <c r="AH22" s="7" t="s">
        <v>10</v>
      </c>
      <c r="AI22" s="15" t="n">
        <f aca="false">AI16/AI6-1</f>
        <v>-0.0868108437404812</v>
      </c>
      <c r="AJ22" s="9"/>
      <c r="AL22" s="7" t="s">
        <v>10</v>
      </c>
      <c r="AM22" s="15" t="n">
        <f aca="false">AM16/AM6-1</f>
        <v>-0.0613481444079778</v>
      </c>
      <c r="AN22" s="9"/>
      <c r="AP22" s="7" t="s">
        <v>10</v>
      </c>
      <c r="AQ22" s="15" t="n">
        <f aca="false">AQ16/AQ6-1</f>
        <v>-0.127875869448903</v>
      </c>
      <c r="AR22" s="9"/>
      <c r="AT22" s="7" t="s">
        <v>10</v>
      </c>
      <c r="AU22" s="15" t="n">
        <f aca="false">AU16/AU6-1</f>
        <v>-0.0820724729815641</v>
      </c>
      <c r="AV22" s="9"/>
      <c r="AX22" s="7" t="s">
        <v>10</v>
      </c>
      <c r="AY22" s="15" t="n">
        <f aca="false">AY16/AY6-1</f>
        <v>-0.0677314059221263</v>
      </c>
      <c r="AZ22" s="9"/>
      <c r="BB22" s="7" t="s">
        <v>10</v>
      </c>
      <c r="BC22" s="15" t="n">
        <f aca="false">BC16/BC6-1</f>
        <v>-0.113082039911308</v>
      </c>
      <c r="BD22" s="9"/>
      <c r="BF22" s="7" t="s">
        <v>10</v>
      </c>
      <c r="BG22" s="15" t="n">
        <f aca="false">BG16/BG6-1</f>
        <v>-0.0424252834077636</v>
      </c>
      <c r="BH22" s="9"/>
      <c r="BJ22" s="7" t="s">
        <v>10</v>
      </c>
      <c r="BK22" s="15" t="n">
        <f aca="false">BK16/BK6-1</f>
        <v>-0.0657445661936412</v>
      </c>
      <c r="BL22" s="9"/>
      <c r="BN22" s="7" t="s">
        <v>10</v>
      </c>
      <c r="BO22" s="15" t="n">
        <f aca="false">BO16/BO6-1</f>
        <v>-0.204957786958865</v>
      </c>
      <c r="BP22" s="9"/>
    </row>
    <row r="23" customFormat="false" ht="4.5" hidden="false" customHeight="true" outlineLevel="0" collapsed="false">
      <c r="B23" s="7"/>
      <c r="C23" s="13"/>
      <c r="D23" s="9"/>
      <c r="F23" s="7"/>
      <c r="G23" s="13"/>
      <c r="H23" s="9"/>
      <c r="J23" s="7"/>
      <c r="K23" s="13"/>
      <c r="L23" s="9"/>
      <c r="N23" s="7"/>
      <c r="O23" s="13"/>
      <c r="P23" s="9"/>
      <c r="R23" s="7"/>
      <c r="S23" s="13"/>
      <c r="T23" s="9"/>
      <c r="V23" s="7"/>
      <c r="W23" s="13"/>
      <c r="X23" s="9"/>
      <c r="Z23" s="7"/>
      <c r="AA23" s="13"/>
      <c r="AB23" s="9"/>
      <c r="AD23" s="7"/>
      <c r="AE23" s="13"/>
      <c r="AF23" s="9"/>
      <c r="AH23" s="7"/>
      <c r="AI23" s="13"/>
      <c r="AJ23" s="9"/>
      <c r="AL23" s="7"/>
      <c r="AM23" s="13"/>
      <c r="AN23" s="9"/>
      <c r="AP23" s="7"/>
      <c r="AQ23" s="13"/>
      <c r="AR23" s="9"/>
      <c r="AT23" s="7"/>
      <c r="AU23" s="13"/>
      <c r="AV23" s="9"/>
      <c r="AX23" s="7"/>
      <c r="AY23" s="13"/>
      <c r="AZ23" s="9"/>
      <c r="BB23" s="7"/>
      <c r="BC23" s="13"/>
      <c r="BD23" s="9"/>
      <c r="BF23" s="7"/>
      <c r="BG23" s="13"/>
      <c r="BH23" s="9"/>
      <c r="BJ23" s="7"/>
      <c r="BK23" s="13"/>
      <c r="BL23" s="9"/>
      <c r="BN23" s="7"/>
      <c r="BO23" s="13"/>
      <c r="BP23" s="9"/>
    </row>
    <row r="24" customFormat="false" ht="15" hidden="false" customHeight="false" outlineLevel="0" collapsed="false">
      <c r="B24" s="7" t="s">
        <v>11</v>
      </c>
      <c r="C24" s="16" t="n">
        <f aca="false">C14/(C8*C12*100)</f>
        <v>0.0321276595744681</v>
      </c>
      <c r="D24" s="9"/>
      <c r="F24" s="7" t="s">
        <v>11</v>
      </c>
      <c r="G24" s="16" t="n">
        <f aca="false">G14/((G8*G12*100)-G14)</f>
        <v>0.0320478001086366</v>
      </c>
      <c r="H24" s="9"/>
      <c r="J24" s="7" t="s">
        <v>11</v>
      </c>
      <c r="K24" s="16" t="n">
        <f aca="false">K14/(K8*K12*100)</f>
        <v>0.0273333333333333</v>
      </c>
      <c r="L24" s="9"/>
      <c r="N24" s="7" t="s">
        <v>11</v>
      </c>
      <c r="O24" s="16" t="n">
        <f aca="false">O14/(O8*O12*100)</f>
        <v>0.0384375</v>
      </c>
      <c r="P24" s="9"/>
      <c r="R24" s="7" t="s">
        <v>11</v>
      </c>
      <c r="S24" s="16" t="n">
        <f aca="false">S14/(S8*S12*100)</f>
        <v>0.0314285714285714</v>
      </c>
      <c r="T24" s="9"/>
      <c r="V24" s="7" t="s">
        <v>11</v>
      </c>
      <c r="W24" s="16" t="n">
        <f aca="false">W14/(W8*W12*100)</f>
        <v>0.03152</v>
      </c>
      <c r="X24" s="9"/>
      <c r="Z24" s="7" t="s">
        <v>11</v>
      </c>
      <c r="AA24" s="16" t="n">
        <f aca="false">AA14/(AA8*AA12*100)</f>
        <v>0.0377391304347826</v>
      </c>
      <c r="AB24" s="9"/>
      <c r="AD24" s="7" t="s">
        <v>11</v>
      </c>
      <c r="AE24" s="16" t="n">
        <f aca="false">AE14/(AE8*AE12*100)</f>
        <v>0.025</v>
      </c>
      <c r="AF24" s="9"/>
      <c r="AH24" s="7" t="s">
        <v>11</v>
      </c>
      <c r="AI24" s="16" t="n">
        <f aca="false">AI14/(AI8*AI12*100)</f>
        <v>0.0329032258064516</v>
      </c>
      <c r="AJ24" s="9"/>
      <c r="AL24" s="7" t="s">
        <v>11</v>
      </c>
      <c r="AM24" s="16" t="n">
        <f aca="false">AM14/(AM8*AM12*100)</f>
        <v>0.0215789473684211</v>
      </c>
      <c r="AN24" s="9"/>
      <c r="AP24" s="7" t="s">
        <v>11</v>
      </c>
      <c r="AQ24" s="16" t="n">
        <f aca="false">AQ14/(AQ8*AQ12*100)</f>
        <v>0.0685714285714286</v>
      </c>
      <c r="AR24" s="9"/>
      <c r="AT24" s="7" t="s">
        <v>11</v>
      </c>
      <c r="AU24" s="16" t="n">
        <f aca="false">AU14/(AU8*AU12*100)</f>
        <v>0.00420689655172414</v>
      </c>
      <c r="AV24" s="9"/>
      <c r="AX24" s="7" t="s">
        <v>11</v>
      </c>
      <c r="AY24" s="16" t="n">
        <f aca="false">AY14/(AY8*AY12*100)</f>
        <v>0.0365060240963855</v>
      </c>
      <c r="AZ24" s="9"/>
      <c r="BB24" s="7" t="s">
        <v>11</v>
      </c>
      <c r="BC24" s="16" t="n">
        <f aca="false">BC14/(BC8*BC12*100)</f>
        <v>0.0588235294117647</v>
      </c>
      <c r="BD24" s="9"/>
      <c r="BF24" s="7" t="s">
        <v>11</v>
      </c>
      <c r="BG24" s="16" t="n">
        <f aca="false">BG14/((BG8-BG10)*BG12*100)</f>
        <v>0.0164424514200299</v>
      </c>
      <c r="BH24" s="9"/>
      <c r="BJ24" s="7" t="s">
        <v>11</v>
      </c>
      <c r="BK24" s="16" t="n">
        <f aca="false">BK14/((BK8-BK10)*BK12*100)</f>
        <v>0.0574889444337627</v>
      </c>
      <c r="BL24" s="9"/>
      <c r="BN24" s="7" t="s">
        <v>11</v>
      </c>
      <c r="BO24" s="16" t="n">
        <f aca="false">BO14/((BO8-BO10)*BO12*100)</f>
        <v>0.0167193854496159</v>
      </c>
      <c r="BP24" s="9"/>
    </row>
    <row r="25" customFormat="false" ht="4.5" hidden="false" customHeight="true" outlineLevel="0" collapsed="false">
      <c r="B25" s="7"/>
      <c r="C25" s="13"/>
      <c r="D25" s="9"/>
      <c r="F25" s="7"/>
      <c r="G25" s="13"/>
      <c r="H25" s="9"/>
      <c r="J25" s="7"/>
      <c r="K25" s="13"/>
      <c r="L25" s="9"/>
      <c r="N25" s="7"/>
      <c r="O25" s="13"/>
      <c r="P25" s="9"/>
      <c r="R25" s="7"/>
      <c r="S25" s="13"/>
      <c r="T25" s="9"/>
      <c r="V25" s="7"/>
      <c r="W25" s="13"/>
      <c r="X25" s="9"/>
      <c r="Z25" s="7"/>
      <c r="AA25" s="13"/>
      <c r="AB25" s="9"/>
      <c r="AD25" s="7"/>
      <c r="AE25" s="13"/>
      <c r="AF25" s="9"/>
      <c r="AH25" s="7"/>
      <c r="AI25" s="13"/>
      <c r="AJ25" s="9"/>
      <c r="AL25" s="7"/>
      <c r="AM25" s="13"/>
      <c r="AN25" s="9"/>
      <c r="AP25" s="7"/>
      <c r="AQ25" s="13"/>
      <c r="AR25" s="9"/>
      <c r="AT25" s="7"/>
      <c r="AU25" s="13"/>
      <c r="AV25" s="9"/>
      <c r="AX25" s="7"/>
      <c r="AY25" s="13"/>
      <c r="AZ25" s="9"/>
      <c r="BB25" s="7"/>
      <c r="BC25" s="13"/>
      <c r="BD25" s="9"/>
      <c r="BF25" s="7"/>
      <c r="BG25" s="13"/>
      <c r="BH25" s="9"/>
      <c r="BJ25" s="7"/>
      <c r="BK25" s="13"/>
      <c r="BL25" s="9"/>
      <c r="BN25" s="7"/>
      <c r="BO25" s="13"/>
      <c r="BP25" s="9"/>
    </row>
    <row r="26" customFormat="false" ht="15" hidden="false" customHeight="false" outlineLevel="0" collapsed="false">
      <c r="B26" s="7" t="s">
        <v>12</v>
      </c>
      <c r="C26" s="15" t="n">
        <f aca="false">(365/(C4-C3))*C24</f>
        <v>0.390886524822695</v>
      </c>
      <c r="D26" s="9"/>
      <c r="F26" s="7" t="s">
        <v>12</v>
      </c>
      <c r="G26" s="17" t="n">
        <f aca="false">(365/(G4-G3))*G24</f>
        <v>0.389914901321745</v>
      </c>
      <c r="H26" s="9"/>
      <c r="J26" s="7" t="s">
        <v>12</v>
      </c>
      <c r="K26" s="17" t="n">
        <f aca="false">(365/(K4-K3))*K24</f>
        <v>0.332555555555556</v>
      </c>
      <c r="L26" s="9"/>
      <c r="N26" s="7" t="s">
        <v>12</v>
      </c>
      <c r="O26" s="15" t="n">
        <f aca="false">(365/(O4-O3))*O24</f>
        <v>0.46765625</v>
      </c>
      <c r="P26" s="9"/>
      <c r="R26" s="7" t="s">
        <v>12</v>
      </c>
      <c r="S26" s="15" t="n">
        <f aca="false">(365/(S4-S3))*S24</f>
        <v>0.382380952380952</v>
      </c>
      <c r="T26" s="9"/>
      <c r="V26" s="7" t="s">
        <v>12</v>
      </c>
      <c r="W26" s="15" t="n">
        <f aca="false">(365/(W4-W3))*W24</f>
        <v>0.383493333333333</v>
      </c>
      <c r="X26" s="9"/>
      <c r="Z26" s="7" t="s">
        <v>12</v>
      </c>
      <c r="AA26" s="15" t="n">
        <f aca="false">(365/(AA4-AA3))*AA24</f>
        <v>0.459159420289855</v>
      </c>
      <c r="AB26" s="9"/>
      <c r="AD26" s="7" t="s">
        <v>12</v>
      </c>
      <c r="AE26" s="15" t="n">
        <f aca="false">(365/(AE4-AE3))*AE24</f>
        <v>0.304166666666667</v>
      </c>
      <c r="AF26" s="9"/>
      <c r="AH26" s="7" t="s">
        <v>12</v>
      </c>
      <c r="AI26" s="15" t="n">
        <f aca="false">(365/(AI4-AI3))*AI24</f>
        <v>0.400322580645161</v>
      </c>
      <c r="AJ26" s="9"/>
      <c r="AL26" s="7" t="s">
        <v>12</v>
      </c>
      <c r="AM26" s="15" t="n">
        <f aca="false">(365/(AM4-AM3))*AM24</f>
        <v>0.262543859649123</v>
      </c>
      <c r="AN26" s="9"/>
      <c r="AP26" s="7" t="s">
        <v>12</v>
      </c>
      <c r="AQ26" s="15" t="n">
        <f aca="false">(365/(AQ4-AQ3))*AQ24</f>
        <v>0.834285714285714</v>
      </c>
      <c r="AR26" s="9"/>
      <c r="AT26" s="7" t="s">
        <v>12</v>
      </c>
      <c r="AU26" s="15" t="n">
        <f aca="false">(365/(AU4-AU3))*AU24</f>
        <v>-0.000787444739168877</v>
      </c>
      <c r="AV26" s="9"/>
      <c r="AX26" s="7" t="s">
        <v>12</v>
      </c>
      <c r="AY26" s="15" t="n">
        <f aca="false">(365/(AY4-AY3))*AY24</f>
        <v>-0.00762718877800843</v>
      </c>
      <c r="AZ26" s="9"/>
      <c r="BB26" s="7" t="s">
        <v>12</v>
      </c>
      <c r="BC26" s="15" t="n">
        <f aca="false">(365/(BC4-BC3))*BC24</f>
        <v>-0.0107729996163041</v>
      </c>
      <c r="BD26" s="9"/>
      <c r="BF26" s="7" t="s">
        <v>12</v>
      </c>
      <c r="BG26" s="15" t="n">
        <f aca="false">(365/(BG4-BG3))*BG24</f>
        <v>0.130467277571976</v>
      </c>
      <c r="BH26" s="9"/>
      <c r="BJ26" s="7" t="s">
        <v>12</v>
      </c>
      <c r="BK26" s="15" t="n">
        <f aca="false">(365/(BK4-BK3))*BK24</f>
        <v>-0.0174862205986028</v>
      </c>
      <c r="BL26" s="9"/>
      <c r="BN26" s="7" t="s">
        <v>12</v>
      </c>
      <c r="BO26" s="15" t="n">
        <f aca="false">(365/(BO4-BO3))*BO24</f>
        <v>-0.00507279774655844</v>
      </c>
      <c r="BP26" s="9"/>
    </row>
    <row r="27" customFormat="false" ht="4.5" hidden="false" customHeight="true" outlineLevel="0" collapsed="false">
      <c r="B27" s="7"/>
      <c r="C27" s="13"/>
      <c r="D27" s="9"/>
      <c r="F27" s="7"/>
      <c r="G27" s="13"/>
      <c r="H27" s="9"/>
      <c r="J27" s="7"/>
      <c r="K27" s="13"/>
      <c r="L27" s="9"/>
      <c r="N27" s="7"/>
      <c r="O27" s="13"/>
      <c r="P27" s="9"/>
      <c r="R27" s="7"/>
      <c r="S27" s="13"/>
      <c r="T27" s="9"/>
      <c r="V27" s="7"/>
      <c r="W27" s="13"/>
      <c r="X27" s="9"/>
      <c r="Z27" s="7"/>
      <c r="AA27" s="13"/>
      <c r="AB27" s="9"/>
      <c r="AD27" s="7"/>
      <c r="AE27" s="13"/>
      <c r="AF27" s="9"/>
      <c r="AH27" s="7"/>
      <c r="AI27" s="13"/>
      <c r="AJ27" s="9"/>
      <c r="AL27" s="7"/>
      <c r="AM27" s="13"/>
      <c r="AN27" s="9"/>
      <c r="AP27" s="7"/>
      <c r="AQ27" s="13"/>
      <c r="AR27" s="9"/>
      <c r="AT27" s="7"/>
      <c r="AU27" s="13"/>
      <c r="AV27" s="9"/>
      <c r="AX27" s="7"/>
      <c r="AY27" s="13"/>
      <c r="AZ27" s="9"/>
      <c r="BB27" s="7"/>
      <c r="BC27" s="13"/>
      <c r="BD27" s="9"/>
      <c r="BF27" s="7"/>
      <c r="BG27" s="13"/>
      <c r="BH27" s="9"/>
      <c r="BJ27" s="7"/>
      <c r="BK27" s="13"/>
      <c r="BL27" s="9"/>
      <c r="BN27" s="7"/>
      <c r="BO27" s="13"/>
      <c r="BP27" s="9"/>
    </row>
    <row r="28" customFormat="false" ht="15" hidden="false" customHeight="false" outlineLevel="0" collapsed="false">
      <c r="B28" s="7" t="s">
        <v>13</v>
      </c>
      <c r="C28" s="18" t="n">
        <f aca="false">-(C8*C12*100-C14)</f>
        <v>-4549</v>
      </c>
      <c r="D28" s="9"/>
      <c r="F28" s="7" t="s">
        <v>13</v>
      </c>
      <c r="G28" s="18" t="n">
        <f aca="false">-(G8*G12*100-G14)</f>
        <v>-9205</v>
      </c>
      <c r="H28" s="9"/>
      <c r="J28" s="7" t="s">
        <v>13</v>
      </c>
      <c r="K28" s="18" t="n">
        <f aca="false">-(K8*K12*100-K14)</f>
        <v>-7295</v>
      </c>
      <c r="L28" s="9"/>
      <c r="N28" s="7" t="s">
        <v>13</v>
      </c>
      <c r="O28" s="18" t="n">
        <f aca="false">-(O8*O12*100-O14)</f>
        <v>-15385</v>
      </c>
      <c r="P28" s="9"/>
      <c r="R28" s="7" t="s">
        <v>13</v>
      </c>
      <c r="S28" s="18" t="n">
        <f aca="false">-(S8*S12*100-S14)</f>
        <v>-4068</v>
      </c>
      <c r="T28" s="9"/>
      <c r="V28" s="7" t="s">
        <v>13</v>
      </c>
      <c r="W28" s="18" t="n">
        <f aca="false">-(W8*W12*100-W14)</f>
        <v>-6053</v>
      </c>
      <c r="X28" s="9"/>
      <c r="Z28" s="7" t="s">
        <v>13</v>
      </c>
      <c r="AA28" s="18" t="n">
        <f aca="false">-(AA8*AA12*100-AA14)</f>
        <v>-5533</v>
      </c>
      <c r="AB28" s="9"/>
      <c r="AD28" s="7" t="s">
        <v>13</v>
      </c>
      <c r="AE28" s="18" t="n">
        <f aca="false">-(AE8*AE12*100-AE14)</f>
        <v>-5850</v>
      </c>
      <c r="AF28" s="9"/>
      <c r="AH28" s="7" t="s">
        <v>13</v>
      </c>
      <c r="AI28" s="18" t="n">
        <f aca="false">-(AI8*AI12*100-AI14)</f>
        <v>-2998</v>
      </c>
      <c r="AJ28" s="9"/>
      <c r="AL28" s="7" t="s">
        <v>13</v>
      </c>
      <c r="AM28" s="18" t="n">
        <f aca="false">-(AM8*AM12*100-AM14)</f>
        <v>-3718</v>
      </c>
      <c r="AN28" s="9"/>
      <c r="AP28" s="7" t="s">
        <v>13</v>
      </c>
      <c r="AQ28" s="18" t="n">
        <f aca="false">-(AQ8*AQ12*100-AQ14)</f>
        <v>-3260</v>
      </c>
      <c r="AR28" s="9"/>
      <c r="AT28" s="7" t="s">
        <v>13</v>
      </c>
      <c r="AU28" s="18" t="n">
        <f aca="false">-(AU8*AU12*100-AU14)</f>
        <v>-14439</v>
      </c>
      <c r="AV28" s="9"/>
      <c r="AX28" s="7" t="s">
        <v>13</v>
      </c>
      <c r="AY28" s="18" t="n">
        <f aca="false">-(AY8*AY12*100-AY14)</f>
        <v>-15994</v>
      </c>
      <c r="AZ28" s="9"/>
      <c r="BB28" s="7" t="s">
        <v>13</v>
      </c>
      <c r="BC28" s="18" t="n">
        <f aca="false">-(BC8*BC12*100-BC14)</f>
        <v>-1760</v>
      </c>
      <c r="BD28" s="9"/>
      <c r="BF28" s="7" t="s">
        <v>13</v>
      </c>
      <c r="BG28" s="18" t="n">
        <f aca="false">-(BG8*BG12*100-BG14)</f>
        <v>-33450</v>
      </c>
      <c r="BH28" s="9"/>
      <c r="BJ28" s="7" t="s">
        <v>13</v>
      </c>
      <c r="BK28" s="18" t="n">
        <f aca="false">-(BK8*BK12*100-BK14)</f>
        <v>-5201</v>
      </c>
      <c r="BL28" s="9"/>
      <c r="BN28" s="7" t="s">
        <v>13</v>
      </c>
      <c r="BO28" s="18" t="n">
        <f aca="false">-(BO8*BO12*100-BO14)</f>
        <v>-4426</v>
      </c>
      <c r="BP28" s="9"/>
    </row>
    <row r="29" customFormat="false" ht="4.5" hidden="false" customHeight="true" outlineLevel="0" collapsed="false">
      <c r="B29" s="7"/>
      <c r="C29" s="13"/>
      <c r="D29" s="9"/>
      <c r="F29" s="7"/>
      <c r="G29" s="13"/>
      <c r="H29" s="9"/>
      <c r="J29" s="7"/>
      <c r="K29" s="13"/>
      <c r="L29" s="9"/>
      <c r="N29" s="7"/>
      <c r="O29" s="13"/>
      <c r="P29" s="9"/>
      <c r="R29" s="7"/>
      <c r="S29" s="13"/>
      <c r="T29" s="9"/>
      <c r="V29" s="7"/>
      <c r="W29" s="13"/>
      <c r="X29" s="9"/>
      <c r="Z29" s="7"/>
      <c r="AA29" s="13"/>
      <c r="AB29" s="9"/>
      <c r="AD29" s="7"/>
      <c r="AE29" s="13"/>
      <c r="AF29" s="9"/>
      <c r="AH29" s="7"/>
      <c r="AI29" s="13"/>
      <c r="AJ29" s="9"/>
      <c r="AL29" s="7"/>
      <c r="AM29" s="13"/>
      <c r="AN29" s="9"/>
      <c r="AP29" s="7"/>
      <c r="AQ29" s="13"/>
      <c r="AR29" s="9"/>
      <c r="AT29" s="7"/>
      <c r="AU29" s="13"/>
      <c r="AV29" s="9"/>
      <c r="AX29" s="7"/>
      <c r="AY29" s="13"/>
      <c r="AZ29" s="9"/>
      <c r="BB29" s="7"/>
      <c r="BC29" s="13"/>
      <c r="BD29" s="9"/>
      <c r="BF29" s="7"/>
      <c r="BG29" s="13"/>
      <c r="BH29" s="9"/>
      <c r="BJ29" s="7"/>
      <c r="BK29" s="13"/>
      <c r="BL29" s="9"/>
      <c r="BN29" s="7"/>
      <c r="BO29" s="13"/>
      <c r="BP29" s="9"/>
    </row>
    <row r="30" customFormat="false" ht="15" hidden="false" customHeight="false" outlineLevel="0" collapsed="false">
      <c r="B30" s="7" t="s">
        <v>14</v>
      </c>
      <c r="C30" s="19" t="n">
        <f aca="false">C14</f>
        <v>151</v>
      </c>
      <c r="D30" s="9"/>
      <c r="F30" s="7" t="s">
        <v>14</v>
      </c>
      <c r="G30" s="19" t="n">
        <f aca="false">G14</f>
        <v>295</v>
      </c>
      <c r="H30" s="9"/>
      <c r="J30" s="7" t="s">
        <v>14</v>
      </c>
      <c r="K30" s="19" t="n">
        <f aca="false">K14</f>
        <v>205</v>
      </c>
      <c r="L30" s="9"/>
      <c r="N30" s="7" t="s">
        <v>14</v>
      </c>
      <c r="O30" s="19" t="n">
        <f aca="false">O14</f>
        <v>615</v>
      </c>
      <c r="P30" s="9"/>
      <c r="R30" s="7" t="s">
        <v>14</v>
      </c>
      <c r="S30" s="19" t="n">
        <f aca="false">S14</f>
        <v>132</v>
      </c>
      <c r="T30" s="9"/>
      <c r="V30" s="7" t="s">
        <v>14</v>
      </c>
      <c r="W30" s="19" t="n">
        <f aca="false">W14</f>
        <v>197</v>
      </c>
      <c r="X30" s="9"/>
      <c r="Z30" s="7" t="s">
        <v>14</v>
      </c>
      <c r="AA30" s="19" t="n">
        <f aca="false">AA14</f>
        <v>217</v>
      </c>
      <c r="AB30" s="9"/>
      <c r="AD30" s="7" t="s">
        <v>14</v>
      </c>
      <c r="AE30" s="19" t="n">
        <f aca="false">AE14</f>
        <v>150</v>
      </c>
      <c r="AF30" s="9"/>
      <c r="AH30" s="7" t="s">
        <v>14</v>
      </c>
      <c r="AI30" s="19" t="n">
        <f aca="false">AI14</f>
        <v>102</v>
      </c>
      <c r="AJ30" s="9"/>
      <c r="AL30" s="7" t="s">
        <v>14</v>
      </c>
      <c r="AM30" s="19" t="n">
        <f aca="false">AM14</f>
        <v>82</v>
      </c>
      <c r="AN30" s="9"/>
      <c r="AP30" s="7" t="s">
        <v>14</v>
      </c>
      <c r="AQ30" s="19" t="n">
        <f aca="false">AQ14</f>
        <v>240</v>
      </c>
      <c r="AR30" s="9"/>
      <c r="AT30" s="7" t="s">
        <v>14</v>
      </c>
      <c r="AU30" s="19" t="n">
        <f aca="false">AU14</f>
        <v>61</v>
      </c>
      <c r="AV30" s="9"/>
      <c r="AX30" s="7" t="s">
        <v>14</v>
      </c>
      <c r="AY30" s="19" t="n">
        <f aca="false">AY14</f>
        <v>606</v>
      </c>
      <c r="AZ30" s="9"/>
      <c r="BB30" s="7" t="s">
        <v>14</v>
      </c>
      <c r="BC30" s="19" t="n">
        <f aca="false">BC14</f>
        <v>110</v>
      </c>
      <c r="BD30" s="9"/>
      <c r="BF30" s="7" t="s">
        <v>14</v>
      </c>
      <c r="BG30" s="19" t="n">
        <f aca="false">BG14</f>
        <v>550</v>
      </c>
      <c r="BH30" s="9"/>
      <c r="BJ30" s="7" t="s">
        <v>14</v>
      </c>
      <c r="BK30" s="19" t="n">
        <f aca="false">BK14</f>
        <v>299</v>
      </c>
      <c r="BL30" s="9"/>
      <c r="BN30" s="7" t="s">
        <v>14</v>
      </c>
      <c r="BO30" s="19" t="n">
        <f aca="false">BO14</f>
        <v>74</v>
      </c>
      <c r="BP30" s="9"/>
    </row>
    <row r="31" customFormat="false" ht="15.75" hidden="false" customHeight="false" outlineLevel="0" collapsed="false">
      <c r="B31" s="20"/>
      <c r="C31" s="21"/>
      <c r="D31" s="22"/>
      <c r="F31" s="20"/>
      <c r="G31" s="21"/>
      <c r="H31" s="22"/>
      <c r="J31" s="20"/>
      <c r="K31" s="21"/>
      <c r="L31" s="22"/>
      <c r="N31" s="20"/>
      <c r="O31" s="21"/>
      <c r="P31" s="22"/>
      <c r="R31" s="20"/>
      <c r="S31" s="21"/>
      <c r="T31" s="22"/>
      <c r="V31" s="20"/>
      <c r="W31" s="21"/>
      <c r="X31" s="22"/>
      <c r="Z31" s="20"/>
      <c r="AA31" s="21"/>
      <c r="AB31" s="22"/>
      <c r="AD31" s="20"/>
      <c r="AE31" s="21"/>
      <c r="AF31" s="22"/>
      <c r="AH31" s="20"/>
      <c r="AI31" s="21"/>
      <c r="AJ31" s="22"/>
      <c r="AL31" s="20"/>
      <c r="AM31" s="21"/>
      <c r="AN31" s="22"/>
      <c r="AP31" s="20"/>
      <c r="AQ31" s="21"/>
      <c r="AR31" s="22"/>
      <c r="AT31" s="20"/>
      <c r="AU31" s="21"/>
      <c r="AV31" s="22"/>
      <c r="AX31" s="20"/>
      <c r="AY31" s="21"/>
      <c r="AZ31" s="22"/>
      <c r="BB31" s="20"/>
      <c r="BC31" s="21"/>
      <c r="BD31" s="22"/>
      <c r="BF31" s="20"/>
      <c r="BG31" s="21"/>
      <c r="BH31" s="22"/>
      <c r="BJ31" s="20"/>
      <c r="BK31" s="21"/>
      <c r="BL31" s="22"/>
      <c r="BN31" s="20"/>
      <c r="BO31" s="21"/>
      <c r="BP31" s="22"/>
    </row>
    <row r="32" customFormat="false" ht="4.5" hidden="false" customHeight="true" outlineLevel="0" collapsed="false"/>
    <row r="34" customFormat="false" ht="15" hidden="true" customHeight="false" outlineLevel="0" collapsed="false">
      <c r="B34" s="23" t="s">
        <v>15</v>
      </c>
      <c r="C34" s="24" t="n">
        <v>46</v>
      </c>
      <c r="D34" s="25"/>
      <c r="F34" s="23" t="s">
        <v>15</v>
      </c>
      <c r="G34" s="24" t="n">
        <v>115</v>
      </c>
      <c r="H34" s="25"/>
      <c r="J34" s="23" t="s">
        <v>15</v>
      </c>
      <c r="K34" s="24" t="n">
        <v>140</v>
      </c>
      <c r="L34" s="25"/>
      <c r="N34" s="23" t="s">
        <v>15</v>
      </c>
      <c r="O34" s="24" t="n">
        <v>140</v>
      </c>
      <c r="P34" s="25"/>
      <c r="R34" s="23" t="s">
        <v>15</v>
      </c>
      <c r="S34" s="24" t="n">
        <v>140</v>
      </c>
      <c r="T34" s="25"/>
      <c r="V34" s="23" t="s">
        <v>15</v>
      </c>
      <c r="W34" s="24" t="n">
        <v>140</v>
      </c>
      <c r="X34" s="25"/>
      <c r="Z34" s="23" t="s">
        <v>15</v>
      </c>
      <c r="AA34" s="24" t="n">
        <v>140</v>
      </c>
      <c r="AB34" s="25"/>
      <c r="AD34" s="23" t="s">
        <v>15</v>
      </c>
      <c r="AE34" s="24" t="n">
        <v>140</v>
      </c>
      <c r="AF34" s="25"/>
      <c r="AH34" s="23" t="s">
        <v>15</v>
      </c>
      <c r="AI34" s="24" t="n">
        <v>140</v>
      </c>
      <c r="AJ34" s="25"/>
      <c r="AL34" s="23" t="s">
        <v>15</v>
      </c>
      <c r="AM34" s="24" t="n">
        <v>140</v>
      </c>
      <c r="AN34" s="25"/>
      <c r="AP34" s="23" t="s">
        <v>15</v>
      </c>
      <c r="AQ34" s="24" t="n">
        <v>140</v>
      </c>
      <c r="AR34" s="25"/>
      <c r="AT34" s="23" t="s">
        <v>15</v>
      </c>
      <c r="AU34" s="24" t="n">
        <v>140</v>
      </c>
      <c r="AV34" s="25"/>
      <c r="AX34" s="23" t="s">
        <v>15</v>
      </c>
      <c r="AY34" s="24" t="n">
        <v>140</v>
      </c>
      <c r="AZ34" s="25"/>
      <c r="BB34" s="23" t="s">
        <v>15</v>
      </c>
      <c r="BC34" s="24" t="n">
        <v>140</v>
      </c>
      <c r="BD34" s="25"/>
      <c r="BF34" s="23" t="s">
        <v>15</v>
      </c>
      <c r="BG34" s="24" t="n">
        <v>140</v>
      </c>
      <c r="BH34" s="25"/>
      <c r="BJ34" s="23" t="s">
        <v>15</v>
      </c>
      <c r="BK34" s="24" t="n">
        <v>18</v>
      </c>
      <c r="BL34" s="25"/>
      <c r="BN34" s="23" t="s">
        <v>15</v>
      </c>
      <c r="BO34" s="24" t="n">
        <v>18</v>
      </c>
      <c r="BP34" s="25"/>
    </row>
    <row r="35" customFormat="false" ht="15" hidden="true" customHeight="false" outlineLevel="0" collapsed="false">
      <c r="B35" s="26"/>
      <c r="C35" s="27"/>
      <c r="D35" s="28"/>
      <c r="F35" s="26"/>
      <c r="G35" s="27"/>
      <c r="H35" s="28"/>
      <c r="J35" s="26"/>
      <c r="K35" s="27"/>
      <c r="L35" s="28"/>
      <c r="N35" s="26"/>
      <c r="O35" s="27"/>
      <c r="P35" s="28"/>
      <c r="R35" s="26"/>
      <c r="S35" s="27"/>
      <c r="T35" s="28"/>
      <c r="V35" s="26"/>
      <c r="W35" s="27"/>
      <c r="X35" s="28"/>
      <c r="Z35" s="26"/>
      <c r="AA35" s="27"/>
      <c r="AB35" s="28"/>
      <c r="AD35" s="26"/>
      <c r="AE35" s="27"/>
      <c r="AF35" s="28"/>
      <c r="AH35" s="26"/>
      <c r="AI35" s="27"/>
      <c r="AJ35" s="28"/>
      <c r="AL35" s="26"/>
      <c r="AM35" s="27"/>
      <c r="AN35" s="28"/>
      <c r="AP35" s="26"/>
      <c r="AQ35" s="27"/>
      <c r="AR35" s="28"/>
      <c r="AT35" s="26"/>
      <c r="AU35" s="27"/>
      <c r="AV35" s="28"/>
      <c r="AX35" s="26"/>
      <c r="AY35" s="27"/>
      <c r="AZ35" s="28"/>
      <c r="BB35" s="26"/>
      <c r="BC35" s="27"/>
      <c r="BD35" s="28"/>
      <c r="BF35" s="26"/>
      <c r="BG35" s="27"/>
      <c r="BH35" s="28"/>
      <c r="BJ35" s="26"/>
      <c r="BK35" s="27"/>
      <c r="BL35" s="28"/>
      <c r="BN35" s="26"/>
      <c r="BO35" s="27"/>
      <c r="BP35" s="28"/>
    </row>
    <row r="36" customFormat="false" ht="15" hidden="true" customHeight="false" outlineLevel="0" collapsed="false">
      <c r="B36" s="26" t="str">
        <f aca="false">IF(C36&gt;0,"Gain per contract", "Loss per contract")</f>
        <v>Gain per contract</v>
      </c>
      <c r="C36" s="29" t="n">
        <f aca="false">IF(C34&gt;C8,C10,-(C8-C34-C10))</f>
        <v>0.51</v>
      </c>
      <c r="D36" s="28"/>
      <c r="F36" s="26" t="str">
        <f aca="false">IF(G36&gt;0,"Gain per contract", "Loss per contract")</f>
        <v>Gain per contract</v>
      </c>
      <c r="G36" s="29" t="n">
        <f aca="false">IF(G34&gt;G8,G10,-(G8-G34-G10))</f>
        <v>2.95</v>
      </c>
      <c r="H36" s="28"/>
      <c r="J36" s="26" t="str">
        <f aca="false">IF(K36&gt;0,"Gain per contract", "Loss per contract")</f>
        <v>Gain per contract</v>
      </c>
      <c r="K36" s="29" t="n">
        <f aca="false">IF(K34&gt;K8,K10,-(K8-K34-K10))</f>
        <v>2.05</v>
      </c>
      <c r="L36" s="28"/>
      <c r="N36" s="26" t="str">
        <f aca="false">IF(O36&gt;0,"Gain per contract", "Loss per contract")</f>
        <v>Loss per contract</v>
      </c>
      <c r="O36" s="29" t="n">
        <f aca="false">IF(O34&gt;O8,O10,-(O8-O34-O10))</f>
        <v>-13.85</v>
      </c>
      <c r="P36" s="28"/>
      <c r="R36" s="26" t="str">
        <f aca="false">IF(S36&gt;0,"Gain per contract", "Loss per contract")</f>
        <v>Gain per contract</v>
      </c>
      <c r="S36" s="29" t="n">
        <f aca="false">IF(S34&gt;S8,S10,-(S8-S34-S10))</f>
        <v>1.32</v>
      </c>
      <c r="T36" s="28"/>
      <c r="V36" s="26" t="str">
        <f aca="false">IF(W36&gt;0,"Gain per contract", "Loss per contract")</f>
        <v>Gain per contract</v>
      </c>
      <c r="W36" s="29" t="n">
        <f aca="false">IF(W34&gt;W8,W10,-(W8-W34-W10))</f>
        <v>1.97</v>
      </c>
      <c r="X36" s="28"/>
      <c r="Z36" s="26" t="str">
        <f aca="false">IF(AA36&gt;0,"Gain per contract", "Loss per contract")</f>
        <v>Gain per contract</v>
      </c>
      <c r="AA36" s="29" t="n">
        <f aca="false">IF(AA34&gt;AA8,AA10,-(AA8-AA34-AA10))</f>
        <v>2.17</v>
      </c>
      <c r="AB36" s="28"/>
      <c r="AD36" s="26" t="str">
        <f aca="false">IF(AE36&gt;0,"Gain per contract", "Loss per contract")</f>
        <v>Gain per contract</v>
      </c>
      <c r="AE36" s="29" t="n">
        <f aca="false">IF(AE34&gt;AE8,AE10,-(AE8-AE34-AE10))</f>
        <v>0.75</v>
      </c>
      <c r="AF36" s="28"/>
      <c r="AH36" s="26" t="str">
        <f aca="false">IF(AI36&gt;0,"Gain per contract", "Loss per contract")</f>
        <v>Gain per contract</v>
      </c>
      <c r="AI36" s="29" t="n">
        <f aca="false">IF(AI34&gt;AI8,AI10,-(AI8-AI34-AI10))</f>
        <v>1.02</v>
      </c>
      <c r="AJ36" s="28"/>
      <c r="AL36" s="26" t="str">
        <f aca="false">IF(AM36&gt;0,"Gain per contract", "Loss per contract")</f>
        <v>Gain per contract</v>
      </c>
      <c r="AM36" s="29" t="n">
        <f aca="false">IF(AM34&gt;AM8,AM10,-(AM8-AM34-AM10))</f>
        <v>0.82</v>
      </c>
      <c r="AN36" s="28"/>
      <c r="AP36" s="26" t="str">
        <f aca="false">IF(AQ36&gt;0,"Gain per contract", "Loss per contract")</f>
        <v>Gain per contract</v>
      </c>
      <c r="AQ36" s="29" t="n">
        <f aca="false">IF(AQ34&gt;AQ8,AQ10,-(AQ8-AQ34-AQ10))</f>
        <v>2.4</v>
      </c>
      <c r="AR36" s="28"/>
      <c r="AT36" s="26" t="str">
        <f aca="false">IF(AU36&gt;0,"Gain per contract", "Loss per contract")</f>
        <v>Loss per contract</v>
      </c>
      <c r="AU36" s="29" t="n">
        <f aca="false">IF(AU34&gt;AU8,AU10,-(AU8-AU34-AU10))</f>
        <v>-4.39</v>
      </c>
      <c r="AV36" s="28"/>
      <c r="AX36" s="26" t="str">
        <f aca="false">IF(AY36&gt;0,"Gain per contract", "Loss per contract")</f>
        <v>Gain per contract</v>
      </c>
      <c r="AY36" s="29" t="n">
        <f aca="false">IF(AY34&gt;AY8,AY10,-(AY8-AY34-AY10))</f>
        <v>3.03</v>
      </c>
      <c r="AZ36" s="28"/>
      <c r="BB36" s="26" t="str">
        <f aca="false">IF(BC36&gt;0,"Gain per contract", "Loss per contract")</f>
        <v>Gain per contract</v>
      </c>
      <c r="BC36" s="29" t="n">
        <f aca="false">IF(BC34&gt;BC8,BC10,-(BC8-BC34-BC10))</f>
        <v>1</v>
      </c>
      <c r="BD36" s="28"/>
      <c r="BF36" s="26" t="str">
        <f aca="false">IF(BG36&gt;0,"Gain per contract", "Loss per contract")</f>
        <v>Loss per contract</v>
      </c>
      <c r="BG36" s="29" t="n">
        <f aca="false">IF(BG34&gt;BG8,BG10,-(BG8-BG34-BG10))</f>
        <v>-27.25</v>
      </c>
      <c r="BH36" s="28"/>
      <c r="BJ36" s="26" t="str">
        <f aca="false">IF(BK36&gt;0,"Gain per contract", "Loss per contract")</f>
        <v>Loss per contract</v>
      </c>
      <c r="BK36" s="29" t="n">
        <f aca="false">IF(BK34&gt;BK8,BK10,-(BK8-BK34-BK10))</f>
        <v>-34.01</v>
      </c>
      <c r="BL36" s="28"/>
      <c r="BN36" s="26" t="str">
        <f aca="false">IF(BO36&gt;0,"Gain per contract", "Loss per contract")</f>
        <v>Loss per contract</v>
      </c>
      <c r="BO36" s="29" t="n">
        <f aca="false">IF(BO34&gt;BO8,BO10,-(BO8-BO34-BO10))</f>
        <v>-26.26</v>
      </c>
      <c r="BP36" s="28"/>
    </row>
    <row r="37" customFormat="false" ht="15" hidden="true" customHeight="false" outlineLevel="0" collapsed="false">
      <c r="B37" s="26" t="str">
        <f aca="false">IF(C37&gt;0,"Total Gain","Total Loss")</f>
        <v>Total Gain</v>
      </c>
      <c r="C37" s="29" t="n">
        <f aca="false">C36*100*C12</f>
        <v>51</v>
      </c>
      <c r="D37" s="28"/>
      <c r="F37" s="26" t="str">
        <f aca="false">IF(G37&gt;0,"Total Gain","Total Loss")</f>
        <v>Total Gain</v>
      </c>
      <c r="G37" s="29" t="n">
        <f aca="false">G36*100*G12</f>
        <v>295</v>
      </c>
      <c r="H37" s="28"/>
      <c r="J37" s="26" t="str">
        <f aca="false">IF(K37&gt;0,"Total Gain","Total Loss")</f>
        <v>Total Gain</v>
      </c>
      <c r="K37" s="29" t="n">
        <f aca="false">K36*100*K12</f>
        <v>205</v>
      </c>
      <c r="L37" s="28"/>
      <c r="N37" s="26" t="str">
        <f aca="false">IF(O37&gt;0,"Total Gain","Total Loss")</f>
        <v>Total Loss</v>
      </c>
      <c r="O37" s="29" t="n">
        <f aca="false">O36*100*O12</f>
        <v>-1385</v>
      </c>
      <c r="P37" s="28"/>
      <c r="R37" s="26" t="str">
        <f aca="false">IF(S37&gt;0,"Total Gain","Total Loss")</f>
        <v>Total Gain</v>
      </c>
      <c r="S37" s="29" t="n">
        <f aca="false">S36*100*S12</f>
        <v>132</v>
      </c>
      <c r="T37" s="28"/>
      <c r="V37" s="26" t="str">
        <f aca="false">IF(W37&gt;0,"Total Gain","Total Loss")</f>
        <v>Total Gain</v>
      </c>
      <c r="W37" s="29" t="n">
        <f aca="false">W36*100*W12</f>
        <v>197</v>
      </c>
      <c r="X37" s="28"/>
      <c r="Z37" s="26" t="str">
        <f aca="false">IF(AA37&gt;0,"Total Gain","Total Loss")</f>
        <v>Total Gain</v>
      </c>
      <c r="AA37" s="29" t="n">
        <f aca="false">AA36*100*AA12</f>
        <v>217</v>
      </c>
      <c r="AB37" s="28"/>
      <c r="AD37" s="26" t="str">
        <f aca="false">IF(AE37&gt;0,"Total Gain","Total Loss")</f>
        <v>Total Gain</v>
      </c>
      <c r="AE37" s="29" t="n">
        <f aca="false">AE36*100*AE12</f>
        <v>150</v>
      </c>
      <c r="AF37" s="28"/>
      <c r="AH37" s="26" t="str">
        <f aca="false">IF(AI37&gt;0,"Total Gain","Total Loss")</f>
        <v>Total Gain</v>
      </c>
      <c r="AI37" s="29" t="n">
        <f aca="false">AI36*100*AI12</f>
        <v>102</v>
      </c>
      <c r="AJ37" s="28"/>
      <c r="AL37" s="26" t="str">
        <f aca="false">IF(AM37&gt;0,"Total Gain","Total Loss")</f>
        <v>Total Gain</v>
      </c>
      <c r="AM37" s="29" t="n">
        <f aca="false">AM36*100*AM12</f>
        <v>82</v>
      </c>
      <c r="AN37" s="28"/>
      <c r="AP37" s="26" t="str">
        <f aca="false">IF(AQ37&gt;0,"Total Gain","Total Loss")</f>
        <v>Total Gain</v>
      </c>
      <c r="AQ37" s="29" t="n">
        <f aca="false">AQ36*100*AQ12</f>
        <v>240</v>
      </c>
      <c r="AR37" s="28"/>
      <c r="AT37" s="26" t="str">
        <f aca="false">IF(AU37&gt;0,"Total Gain","Total Loss")</f>
        <v>Total Loss</v>
      </c>
      <c r="AU37" s="29" t="n">
        <f aca="false">AU36*100*AU12</f>
        <v>-439</v>
      </c>
      <c r="AV37" s="28"/>
      <c r="AX37" s="26" t="str">
        <f aca="false">IF(AY37&gt;0,"Total Gain","Total Loss")</f>
        <v>Total Gain</v>
      </c>
      <c r="AY37" s="29" t="n">
        <f aca="false">AY36*100*AY12</f>
        <v>606</v>
      </c>
      <c r="AZ37" s="28"/>
      <c r="BB37" s="26" t="str">
        <f aca="false">IF(BC37&gt;0,"Total Gain","Total Loss")</f>
        <v>Total Gain</v>
      </c>
      <c r="BC37" s="29" t="n">
        <f aca="false">BC36*100*BC12</f>
        <v>110</v>
      </c>
      <c r="BD37" s="28"/>
      <c r="BF37" s="26" t="str">
        <f aca="false">IF(BG37&gt;0,"Total Gain","Total Loss")</f>
        <v>Total Loss</v>
      </c>
      <c r="BG37" s="29" t="n">
        <f aca="false">BG36*100*BG12</f>
        <v>-5450</v>
      </c>
      <c r="BH37" s="28"/>
      <c r="BJ37" s="26" t="str">
        <f aca="false">IF(BK37&gt;0,"Total Gain","Total Loss")</f>
        <v>Total Loss</v>
      </c>
      <c r="BK37" s="29" t="n">
        <f aca="false">BK36*100*BK12</f>
        <v>-3401</v>
      </c>
      <c r="BL37" s="28"/>
      <c r="BN37" s="26" t="str">
        <f aca="false">IF(BO37&gt;0,"Total Gain","Total Loss")</f>
        <v>Total Loss</v>
      </c>
      <c r="BO37" s="29" t="n">
        <f aca="false">BO36*100*BO12</f>
        <v>-2626</v>
      </c>
      <c r="BP37" s="28"/>
    </row>
    <row r="38" customFormat="false" ht="15" hidden="true" customHeight="false" outlineLevel="0" collapsed="false">
      <c r="B38" s="26"/>
      <c r="C38" s="27"/>
      <c r="D38" s="28"/>
      <c r="F38" s="26"/>
      <c r="G38" s="27"/>
      <c r="H38" s="28"/>
      <c r="J38" s="26"/>
      <c r="K38" s="27"/>
      <c r="L38" s="28"/>
      <c r="N38" s="26"/>
      <c r="O38" s="27"/>
      <c r="P38" s="28"/>
      <c r="R38" s="26"/>
      <c r="S38" s="27"/>
      <c r="T38" s="28"/>
      <c r="V38" s="26"/>
      <c r="W38" s="27"/>
      <c r="X38" s="28"/>
      <c r="Z38" s="26"/>
      <c r="AA38" s="27"/>
      <c r="AB38" s="28"/>
      <c r="AD38" s="26"/>
      <c r="AE38" s="27"/>
      <c r="AF38" s="28"/>
      <c r="AH38" s="26"/>
      <c r="AI38" s="27"/>
      <c r="AJ38" s="28"/>
      <c r="AL38" s="26"/>
      <c r="AM38" s="27"/>
      <c r="AN38" s="28"/>
      <c r="AP38" s="26"/>
      <c r="AQ38" s="27"/>
      <c r="AR38" s="28"/>
      <c r="AT38" s="26"/>
      <c r="AU38" s="27"/>
      <c r="AV38" s="28"/>
      <c r="AX38" s="26"/>
      <c r="AY38" s="27"/>
      <c r="AZ38" s="28"/>
      <c r="BB38" s="26"/>
      <c r="BC38" s="27"/>
      <c r="BD38" s="28"/>
      <c r="BF38" s="26"/>
      <c r="BG38" s="27"/>
      <c r="BH38" s="28"/>
      <c r="BJ38" s="26"/>
      <c r="BK38" s="27"/>
      <c r="BL38" s="28"/>
      <c r="BN38" s="26"/>
      <c r="BO38" s="27"/>
      <c r="BP38" s="28"/>
    </row>
    <row r="39" customFormat="false" ht="15.75" hidden="true" customHeight="false" outlineLevel="0" collapsed="false">
      <c r="B39" s="30" t="str">
        <f aca="false">IF(C39&gt;0,"Percentage Gain","Percentage Loss")</f>
        <v>Percentage Gain</v>
      </c>
      <c r="C39" s="31" t="n">
        <f aca="false">C37/C14</f>
        <v>0.337748344370861</v>
      </c>
      <c r="D39" s="32"/>
      <c r="E39" s="33"/>
      <c r="F39" s="30" t="str">
        <f aca="false">IF(G39&gt;0,"Percentage Gain","Percentage Loss")</f>
        <v>Percentage Gain</v>
      </c>
      <c r="G39" s="31" t="n">
        <f aca="false">G37/G14</f>
        <v>1</v>
      </c>
      <c r="H39" s="32"/>
      <c r="J39" s="30" t="str">
        <f aca="false">IF(K39&gt;0,"Percentage Gain","Percentage Loss")</f>
        <v>Percentage Gain</v>
      </c>
      <c r="K39" s="31" t="n">
        <f aca="false">K37/K14</f>
        <v>1</v>
      </c>
      <c r="L39" s="32"/>
      <c r="N39" s="30" t="str">
        <f aca="false">IF(O39&gt;0,"Percentage Gain","Percentage Loss")</f>
        <v>Percentage Loss</v>
      </c>
      <c r="O39" s="31" t="n">
        <f aca="false">O37/O14</f>
        <v>-2.2520325203252</v>
      </c>
      <c r="P39" s="32"/>
      <c r="R39" s="30" t="str">
        <f aca="false">IF(S39&gt;0,"Percentage Gain","Percentage Loss")</f>
        <v>Percentage Gain</v>
      </c>
      <c r="S39" s="31" t="n">
        <f aca="false">S37/S14</f>
        <v>1</v>
      </c>
      <c r="T39" s="32"/>
      <c r="V39" s="30" t="str">
        <f aca="false">IF(W39&gt;0,"Percentage Gain","Percentage Loss")</f>
        <v>Percentage Gain</v>
      </c>
      <c r="W39" s="31" t="n">
        <f aca="false">W37/W14</f>
        <v>1</v>
      </c>
      <c r="X39" s="32"/>
      <c r="Z39" s="30" t="str">
        <f aca="false">IF(AA39&gt;0,"Percentage Gain","Percentage Loss")</f>
        <v>Percentage Gain</v>
      </c>
      <c r="AA39" s="31" t="n">
        <f aca="false">AA37/AA14</f>
        <v>1</v>
      </c>
      <c r="AB39" s="32"/>
      <c r="AD39" s="30" t="str">
        <f aca="false">IF(AE39&gt;0,"Percentage Gain","Percentage Loss")</f>
        <v>Percentage Gain</v>
      </c>
      <c r="AE39" s="31" t="n">
        <f aca="false">AE37/AE14</f>
        <v>1</v>
      </c>
      <c r="AF39" s="32"/>
      <c r="AH39" s="30" t="str">
        <f aca="false">IF(AI39&gt;0,"Percentage Gain","Percentage Loss")</f>
        <v>Percentage Gain</v>
      </c>
      <c r="AI39" s="31" t="n">
        <f aca="false">AI37/AI14</f>
        <v>1</v>
      </c>
      <c r="AJ39" s="32"/>
      <c r="AL39" s="30" t="str">
        <f aca="false">IF(AM39&gt;0,"Percentage Gain","Percentage Loss")</f>
        <v>Percentage Gain</v>
      </c>
      <c r="AM39" s="31" t="n">
        <f aca="false">AM37/AM14</f>
        <v>1</v>
      </c>
      <c r="AN39" s="32"/>
      <c r="AP39" s="30" t="str">
        <f aca="false">IF(AQ39&gt;0,"Percentage Gain","Percentage Loss")</f>
        <v>Percentage Gain</v>
      </c>
      <c r="AQ39" s="31" t="n">
        <f aca="false">AQ37/AQ14</f>
        <v>1</v>
      </c>
      <c r="AR39" s="32"/>
      <c r="AT39" s="30" t="str">
        <f aca="false">IF(AU39&gt;0,"Percentage Gain","Percentage Loss")</f>
        <v>Percentage Loss</v>
      </c>
      <c r="AU39" s="31" t="n">
        <f aca="false">AU37/AU14</f>
        <v>-7.19672131147541</v>
      </c>
      <c r="AV39" s="32"/>
      <c r="AX39" s="30" t="str">
        <f aca="false">IF(AY39&gt;0,"Percentage Gain","Percentage Loss")</f>
        <v>Percentage Gain</v>
      </c>
      <c r="AY39" s="31" t="n">
        <f aca="false">AY37/AY14</f>
        <v>1</v>
      </c>
      <c r="AZ39" s="32"/>
      <c r="BB39" s="30" t="str">
        <f aca="false">IF(BC39&gt;0,"Percentage Gain","Percentage Loss")</f>
        <v>Percentage Gain</v>
      </c>
      <c r="BC39" s="31" t="n">
        <f aca="false">BC37/BC14</f>
        <v>1</v>
      </c>
      <c r="BD39" s="32"/>
      <c r="BF39" s="30" t="str">
        <f aca="false">IF(BG39&gt;0,"Percentage Gain","Percentage Loss")</f>
        <v>Percentage Loss</v>
      </c>
      <c r="BG39" s="31" t="n">
        <f aca="false">BG37/BG14</f>
        <v>-9.90909090909091</v>
      </c>
      <c r="BH39" s="32"/>
      <c r="BJ39" s="30" t="str">
        <f aca="false">IF(BK39&gt;0,"Percentage Gain","Percentage Loss")</f>
        <v>Percentage Loss</v>
      </c>
      <c r="BK39" s="31" t="n">
        <f aca="false">BK37/BK14</f>
        <v>-11.3745819397993</v>
      </c>
      <c r="BL39" s="32"/>
      <c r="BN39" s="30" t="str">
        <f aca="false">IF(BO39&gt;0,"Percentage Gain","Percentage Loss")</f>
        <v>Percentage Loss</v>
      </c>
      <c r="BO39" s="31" t="n">
        <f aca="false">BO37/BO14</f>
        <v>-35.4864864864865</v>
      </c>
      <c r="BP39" s="32"/>
    </row>
    <row r="40" customFormat="false" ht="15" hidden="true" customHeight="false" outlineLevel="0" collapsed="false"/>
    <row r="41" s="34" customFormat="true" ht="12.75" hidden="false" customHeight="false" outlineLevel="0" collapsed="false">
      <c r="E41" s="35"/>
      <c r="AY41" s="34" t="s">
        <v>16</v>
      </c>
      <c r="BC41" s="34" t="s">
        <v>17</v>
      </c>
    </row>
    <row r="42" customFormat="false" ht="15" hidden="false" customHeight="false" outlineLevel="0" collapsed="false">
      <c r="B42" s="36"/>
      <c r="C42" s="37"/>
      <c r="F42" s="36"/>
      <c r="G42" s="37"/>
      <c r="J42" s="36"/>
      <c r="K42" s="37"/>
      <c r="N42" s="36"/>
      <c r="O42" s="37"/>
      <c r="R42" s="36"/>
      <c r="S42" s="37"/>
      <c r="V42" s="36"/>
      <c r="W42" s="37"/>
      <c r="Z42" s="36"/>
      <c r="AA42" s="37"/>
      <c r="AD42" s="36"/>
      <c r="AE42" s="37"/>
      <c r="AH42" s="36"/>
      <c r="AI42" s="37"/>
      <c r="AL42" s="36"/>
      <c r="AM42" s="37"/>
      <c r="AP42" s="36"/>
      <c r="AQ42" s="37"/>
      <c r="AT42" s="36"/>
      <c r="AU42" s="37"/>
      <c r="AX42" s="36"/>
      <c r="AY42" s="37"/>
      <c r="BB42" s="36"/>
      <c r="BC42" s="37"/>
      <c r="BF42" s="36"/>
      <c r="BG42" s="37"/>
      <c r="BJ42" s="36"/>
      <c r="BK42" s="37"/>
      <c r="BN42" s="36"/>
      <c r="BO42" s="37"/>
    </row>
    <row r="43" customFormat="false" ht="15" hidden="false" customHeight="false" outlineLevel="0" collapsed="false">
      <c r="F43" s="36"/>
      <c r="G43" s="38"/>
    </row>
    <row r="44" customFormat="false" ht="15" hidden="false" customHeight="false" outlineLevel="0" collapsed="false">
      <c r="F44" s="36"/>
      <c r="G44" s="39"/>
    </row>
    <row r="45" customFormat="false" ht="15" hidden="false" customHeight="false" outlineLevel="0" collapsed="false">
      <c r="G45" s="40"/>
      <c r="BC45" s="41" t="n">
        <f aca="false">BC14+BG14+BK14</f>
        <v>959</v>
      </c>
      <c r="BF45" s="42" t="s">
        <v>18</v>
      </c>
      <c r="BG45" s="43"/>
    </row>
    <row r="46" customFormat="false" ht="15" hidden="false" customHeight="false" outlineLevel="0" collapsed="false">
      <c r="BC46" s="44" t="n">
        <f aca="false">BC28+BG28+BK28</f>
        <v>-40411</v>
      </c>
    </row>
    <row r="47" customFormat="false" ht="15" hidden="false" customHeight="false" outlineLevel="0" collapsed="false">
      <c r="BC47" s="40" t="n">
        <f aca="false">BC45/-BC46</f>
        <v>0.0237311623072926</v>
      </c>
      <c r="BK47" s="40"/>
      <c r="BO47" s="40"/>
    </row>
    <row r="48" customFormat="false" ht="15" hidden="false" customHeight="false" outlineLevel="0" collapsed="false">
      <c r="BC48" s="40" t="n">
        <f aca="false">BC47*(365/226)</f>
        <v>0.038326877177707</v>
      </c>
    </row>
    <row r="49" customFormat="false" ht="15" hidden="false" customHeight="false" outlineLevel="0" collapsed="false">
      <c r="BC49" s="40" t="n">
        <f aca="false">BC45/15000</f>
        <v>0.0639333333333333</v>
      </c>
    </row>
    <row r="50" customFormat="false" ht="15" hidden="false" customHeight="false" outlineLevel="0" collapsed="false">
      <c r="BC50" s="40" t="n">
        <f aca="false">BC49*(365/226)</f>
        <v>0.103255162241888</v>
      </c>
    </row>
    <row r="51" customFormat="false" ht="15" hidden="false" customHeight="false" outlineLevel="0" collapsed="false">
      <c r="BC51" s="40"/>
    </row>
    <row r="52" customFormat="false" ht="15" hidden="false" customHeight="false" outlineLevel="0" collapsed="false">
      <c r="BC52" s="41" t="n">
        <f aca="false">BC6*0.85</f>
        <v>15.334</v>
      </c>
      <c r="BG52" s="41"/>
      <c r="BK52" s="41"/>
      <c r="BO52" s="41"/>
    </row>
    <row r="53" customFormat="false" ht="15" hidden="false" customHeight="false" outlineLevel="0" collapsed="false">
      <c r="BC53" s="45" t="n">
        <f aca="false">(BC52-BC8)*BC12*100</f>
        <v>-183.26</v>
      </c>
      <c r="BG53" s="45"/>
      <c r="BK53" s="45"/>
      <c r="BO53" s="45"/>
    </row>
    <row r="54" customFormat="false" ht="15" hidden="false" customHeight="false" outlineLevel="0" collapsed="false">
      <c r="F54" s="46"/>
      <c r="BC54" s="41"/>
    </row>
    <row r="55" customFormat="false" ht="15" hidden="false" customHeight="false" outlineLevel="0" collapsed="false">
      <c r="BC55" s="45" t="n">
        <f aca="false">BC45*(365/226)</f>
        <v>1548.82743362832</v>
      </c>
    </row>
    <row r="57" customFormat="false" ht="15" hidden="false" customHeight="false" outlineLevel="0" collapsed="false">
      <c r="BC57" s="4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1352</TotalTime>
  <Application>LibreOffice/7.5.7.1$Windows_X86_64 LibreOffice_project/47eb0cf7efbacdee9b19ae25d6752381ede23126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2014-12-30T18:00:14Z</dcterms:created>
  <dc:creator>Gavin McMaster</dc:creator>
  <dc:description/>
  <dc:language>fr-CH</dc:language>
  <cp:lastModifiedBy/>
  <cp:lastPrinted>2015-05-30T07:08:03Z</cp:lastPrinted>
  <dcterms:modified xsi:type="dcterms:W3CDTF">2024-10-01T11:29:13Z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