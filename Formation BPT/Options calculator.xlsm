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doh\OneDrive\Documents\R\Trading\"/>
    </mc:Choice>
  </mc:AlternateContent>
  <xr:revisionPtr revIDLastSave="0" documentId="13_ncr:1_{4B01D9C1-4D7E-441D-A62A-70041DCD8569}" xr6:coauthVersionLast="47" xr6:coauthVersionMax="47" xr10:uidLastSave="{00000000-0000-0000-0000-000000000000}"/>
  <bookViews>
    <workbookView xWindow="3465" yWindow="3465" windowWidth="21600" windowHeight="12735" activeTab="4" xr2:uid="{00000000-000D-0000-FFFF-FFFF00000000}"/>
  </bookViews>
  <sheets>
    <sheet name="donnees" sheetId="1" r:id="rId1"/>
    <sheet name="graph" sheetId="2" r:id="rId2"/>
    <sheet name="calculs" sheetId="4" r:id="rId3"/>
    <sheet name="Spreads" sheetId="5" r:id="rId4"/>
    <sheet name="price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36" i="4" l="1"/>
  <c r="R42" i="4"/>
  <c r="R41" i="4"/>
  <c r="R36" i="4"/>
  <c r="T36" i="4" s="1"/>
  <c r="Q36" i="4"/>
  <c r="R40" i="4" l="1"/>
  <c r="R39" i="4"/>
  <c r="S35" i="4"/>
  <c r="Q35" i="4"/>
  <c r="R35" i="4" s="1"/>
  <c r="T35" i="4" l="1"/>
  <c r="E38" i="4"/>
  <c r="I5" i="5"/>
  <c r="J5" i="5" s="1"/>
  <c r="K5" i="5" s="1"/>
  <c r="J4" i="5"/>
  <c r="K4" i="5" s="1"/>
  <c r="I4" i="5"/>
  <c r="F35" i="4"/>
  <c r="G36" i="4" s="1"/>
  <c r="F33" i="4"/>
  <c r="G33" i="4" s="1"/>
  <c r="K41" i="4"/>
  <c r="K40" i="4"/>
  <c r="K33" i="4"/>
  <c r="K32" i="4"/>
  <c r="H42" i="4"/>
  <c r="H44" i="4" s="1"/>
  <c r="L39" i="4"/>
  <c r="L32" i="4"/>
  <c r="F36" i="4" l="1"/>
  <c r="G44" i="4"/>
  <c r="F44" i="4"/>
  <c r="D42" i="4"/>
  <c r="M32" i="4"/>
  <c r="M39" i="4"/>
  <c r="C44" i="4" l="1"/>
  <c r="B44" i="4"/>
  <c r="D44" i="4"/>
  <c r="E5" i="3" l="1"/>
  <c r="F5" i="3" l="1"/>
  <c r="B16" i="1"/>
  <c r="O16" i="1" s="1"/>
  <c r="C14" i="1"/>
  <c r="P16" i="1" l="1"/>
  <c r="L16" i="1"/>
  <c r="E16" i="1"/>
  <c r="M16" i="1"/>
  <c r="F16" i="1"/>
  <c r="J16" i="1"/>
  <c r="N16" i="1"/>
  <c r="H16" i="1"/>
  <c r="I16" i="1"/>
  <c r="G16" i="1"/>
  <c r="K16" i="1"/>
  <c r="B17" i="1"/>
  <c r="D16" i="1"/>
  <c r="B18" i="1" l="1"/>
  <c r="D18" i="1" s="1"/>
  <c r="O17" i="1"/>
  <c r="K17" i="1"/>
  <c r="G17" i="1"/>
  <c r="I17" i="1"/>
  <c r="H17" i="1"/>
  <c r="N17" i="1"/>
  <c r="J17" i="1"/>
  <c r="F17" i="1"/>
  <c r="M17" i="1"/>
  <c r="L17" i="1"/>
  <c r="E17" i="1"/>
  <c r="P17" i="1"/>
  <c r="D17" i="1"/>
  <c r="C16" i="1"/>
  <c r="B19" i="1" l="1"/>
  <c r="K19" i="1" s="1"/>
  <c r="C17" i="1"/>
  <c r="O18" i="1"/>
  <c r="K18" i="1"/>
  <c r="G18" i="1"/>
  <c r="M18" i="1"/>
  <c r="H18" i="1"/>
  <c r="N18" i="1"/>
  <c r="J18" i="1"/>
  <c r="F18" i="1"/>
  <c r="I18" i="1"/>
  <c r="P18" i="1"/>
  <c r="L18" i="1"/>
  <c r="E18" i="1"/>
  <c r="E19" i="1" l="1"/>
  <c r="M19" i="1"/>
  <c r="H19" i="1"/>
  <c r="I19" i="1"/>
  <c r="D19" i="1"/>
  <c r="F19" i="1"/>
  <c r="G19" i="1"/>
  <c r="L19" i="1"/>
  <c r="J19" i="1"/>
  <c r="O19" i="1"/>
  <c r="B20" i="1"/>
  <c r="K20" i="1" s="1"/>
  <c r="P19" i="1"/>
  <c r="N19" i="1"/>
  <c r="C18" i="1"/>
  <c r="O20" i="1"/>
  <c r="H20" i="1"/>
  <c r="B21" i="1" l="1"/>
  <c r="L20" i="1"/>
  <c r="M20" i="1"/>
  <c r="F20" i="1"/>
  <c r="C19" i="1"/>
  <c r="I20" i="1"/>
  <c r="P20" i="1"/>
  <c r="J20" i="1"/>
  <c r="G20" i="1"/>
  <c r="D20" i="1"/>
  <c r="E20" i="1"/>
  <c r="N20" i="1"/>
  <c r="O21" i="1"/>
  <c r="K21" i="1"/>
  <c r="G21" i="1"/>
  <c r="P21" i="1"/>
  <c r="H21" i="1"/>
  <c r="N21" i="1"/>
  <c r="J21" i="1"/>
  <c r="F21" i="1"/>
  <c r="M21" i="1"/>
  <c r="I21" i="1"/>
  <c r="L21" i="1"/>
  <c r="E21" i="1"/>
  <c r="B22" i="1"/>
  <c r="D21" i="1"/>
  <c r="C20" i="1" l="1"/>
  <c r="O22" i="1"/>
  <c r="K22" i="1"/>
  <c r="G22" i="1"/>
  <c r="P22" i="1"/>
  <c r="N22" i="1"/>
  <c r="J22" i="1"/>
  <c r="F22" i="1"/>
  <c r="L22" i="1"/>
  <c r="M22" i="1"/>
  <c r="I22" i="1"/>
  <c r="E22" i="1"/>
  <c r="H22" i="1"/>
  <c r="C21" i="1"/>
  <c r="B23" i="1"/>
  <c r="D22" i="1"/>
  <c r="O23" i="1" l="1"/>
  <c r="K23" i="1"/>
  <c r="G23" i="1"/>
  <c r="P23" i="1"/>
  <c r="N23" i="1"/>
  <c r="J23" i="1"/>
  <c r="F23" i="1"/>
  <c r="L23" i="1"/>
  <c r="M23" i="1"/>
  <c r="I23" i="1"/>
  <c r="E23" i="1"/>
  <c r="H23" i="1"/>
  <c r="C22" i="1"/>
  <c r="B24" i="1"/>
  <c r="D23" i="1"/>
  <c r="O24" i="1" l="1"/>
  <c r="K24" i="1"/>
  <c r="G24" i="1"/>
  <c r="L24" i="1"/>
  <c r="N24" i="1"/>
  <c r="J24" i="1"/>
  <c r="F24" i="1"/>
  <c r="H24" i="1"/>
  <c r="M24" i="1"/>
  <c r="I24" i="1"/>
  <c r="E24" i="1"/>
  <c r="P24" i="1"/>
  <c r="C23" i="1"/>
  <c r="D24" i="1"/>
  <c r="B25" i="1"/>
  <c r="O25" i="1" l="1"/>
  <c r="K25" i="1"/>
  <c r="G25" i="1"/>
  <c r="L25" i="1"/>
  <c r="N25" i="1"/>
  <c r="J25" i="1"/>
  <c r="F25" i="1"/>
  <c r="P25" i="1"/>
  <c r="H25" i="1"/>
  <c r="M25" i="1"/>
  <c r="I25" i="1"/>
  <c r="E25" i="1"/>
  <c r="D25" i="1"/>
  <c r="B26" i="1"/>
  <c r="C24" i="1"/>
  <c r="M26" i="1" l="1"/>
  <c r="I26" i="1"/>
  <c r="P26" i="1"/>
  <c r="L26" i="1"/>
  <c r="K26" i="1"/>
  <c r="F26" i="1"/>
  <c r="O26" i="1"/>
  <c r="H26" i="1"/>
  <c r="J26" i="1"/>
  <c r="G26" i="1"/>
  <c r="E26" i="1"/>
  <c r="N26" i="1"/>
  <c r="B27" i="1"/>
  <c r="D26" i="1"/>
  <c r="C25" i="1"/>
  <c r="M27" i="1" l="1"/>
  <c r="I27" i="1"/>
  <c r="E27" i="1"/>
  <c r="P27" i="1"/>
  <c r="L27" i="1"/>
  <c r="H27" i="1"/>
  <c r="O27" i="1"/>
  <c r="G27" i="1"/>
  <c r="K27" i="1"/>
  <c r="N27" i="1"/>
  <c r="J27" i="1"/>
  <c r="F27" i="1"/>
  <c r="C26" i="1"/>
  <c r="B28" i="1"/>
  <c r="D27" i="1"/>
  <c r="M28" i="1" l="1"/>
  <c r="I28" i="1"/>
  <c r="E28" i="1"/>
  <c r="P28" i="1"/>
  <c r="L28" i="1"/>
  <c r="H28" i="1"/>
  <c r="K28" i="1"/>
  <c r="O28" i="1"/>
  <c r="G28" i="1"/>
  <c r="F28" i="1"/>
  <c r="N28" i="1"/>
  <c r="J28" i="1"/>
  <c r="C27" i="1"/>
  <c r="D28" i="1"/>
  <c r="B29" i="1"/>
  <c r="M29" i="1" l="1"/>
  <c r="I29" i="1"/>
  <c r="E29" i="1"/>
  <c r="P29" i="1"/>
  <c r="L29" i="1"/>
  <c r="H29" i="1"/>
  <c r="O29" i="1"/>
  <c r="G29" i="1"/>
  <c r="K29" i="1"/>
  <c r="F29" i="1"/>
  <c r="J29" i="1"/>
  <c r="N29" i="1"/>
  <c r="C28" i="1"/>
  <c r="B30" i="1"/>
  <c r="D29" i="1"/>
  <c r="C29" i="1" l="1"/>
  <c r="M30" i="1"/>
  <c r="I30" i="1"/>
  <c r="E30" i="1"/>
  <c r="P30" i="1"/>
  <c r="L30" i="1"/>
  <c r="H30" i="1"/>
  <c r="K30" i="1"/>
  <c r="O30" i="1"/>
  <c r="G30" i="1"/>
  <c r="J30" i="1"/>
  <c r="N30" i="1"/>
  <c r="F30" i="1"/>
  <c r="B31" i="1"/>
  <c r="D30" i="1"/>
  <c r="M31" i="1" l="1"/>
  <c r="I31" i="1"/>
  <c r="E31" i="1"/>
  <c r="P31" i="1"/>
  <c r="L31" i="1"/>
  <c r="H31" i="1"/>
  <c r="O31" i="1"/>
  <c r="G31" i="1"/>
  <c r="K31" i="1"/>
  <c r="N31" i="1"/>
  <c r="J31" i="1"/>
  <c r="F31" i="1"/>
  <c r="C30" i="1"/>
  <c r="B32" i="1"/>
  <c r="B33" i="1" s="1"/>
  <c r="D31" i="1"/>
  <c r="M32" i="1" l="1"/>
  <c r="I32" i="1"/>
  <c r="E32" i="1"/>
  <c r="P32" i="1"/>
  <c r="L32" i="1"/>
  <c r="H32" i="1"/>
  <c r="K32" i="1"/>
  <c r="O32" i="1"/>
  <c r="G32" i="1"/>
  <c r="N32" i="1"/>
  <c r="J32" i="1"/>
  <c r="F32" i="1"/>
  <c r="C31" i="1"/>
  <c r="D32" i="1"/>
  <c r="M33" i="1" l="1"/>
  <c r="I33" i="1"/>
  <c r="E33" i="1"/>
  <c r="P33" i="1"/>
  <c r="L33" i="1"/>
  <c r="H33" i="1"/>
  <c r="O33" i="1"/>
  <c r="G33" i="1"/>
  <c r="K33" i="1"/>
  <c r="F33" i="1"/>
  <c r="J33" i="1"/>
  <c r="N33" i="1"/>
  <c r="C32" i="1"/>
  <c r="D33" i="1"/>
  <c r="B34" i="1"/>
  <c r="M34" i="1" l="1"/>
  <c r="I34" i="1"/>
  <c r="E34" i="1"/>
  <c r="P34" i="1"/>
  <c r="L34" i="1"/>
  <c r="H34" i="1"/>
  <c r="K34" i="1"/>
  <c r="O34" i="1"/>
  <c r="G34" i="1"/>
  <c r="J34" i="1"/>
  <c r="N34" i="1"/>
  <c r="F34" i="1"/>
  <c r="B35" i="1"/>
  <c r="D34" i="1"/>
  <c r="C33" i="1"/>
  <c r="M35" i="1" l="1"/>
  <c r="I35" i="1"/>
  <c r="E35" i="1"/>
  <c r="P35" i="1"/>
  <c r="L35" i="1"/>
  <c r="H35" i="1"/>
  <c r="O35" i="1"/>
  <c r="G35" i="1"/>
  <c r="K35" i="1"/>
  <c r="N35" i="1"/>
  <c r="J35" i="1"/>
  <c r="F35" i="1"/>
  <c r="C34" i="1"/>
  <c r="D35" i="1"/>
  <c r="B36" i="1"/>
  <c r="M36" i="1" l="1"/>
  <c r="I36" i="1"/>
  <c r="E36" i="1"/>
  <c r="P36" i="1"/>
  <c r="L36" i="1"/>
  <c r="H36" i="1"/>
  <c r="K36" i="1"/>
  <c r="O36" i="1"/>
  <c r="G36" i="1"/>
  <c r="N36" i="1"/>
  <c r="F36" i="1"/>
  <c r="J36" i="1"/>
  <c r="B37" i="1"/>
  <c r="D36" i="1"/>
  <c r="C35" i="1"/>
  <c r="M37" i="1" l="1"/>
  <c r="I37" i="1"/>
  <c r="E37" i="1"/>
  <c r="P37" i="1"/>
  <c r="L37" i="1"/>
  <c r="H37" i="1"/>
  <c r="O37" i="1"/>
  <c r="G37" i="1"/>
  <c r="K37" i="1"/>
  <c r="F37" i="1"/>
  <c r="N37" i="1"/>
  <c r="J37" i="1"/>
  <c r="C36" i="1"/>
  <c r="B38" i="1"/>
  <c r="D37" i="1"/>
  <c r="M38" i="1" l="1"/>
  <c r="I38" i="1"/>
  <c r="E38" i="1"/>
  <c r="P38" i="1"/>
  <c r="L38" i="1"/>
  <c r="H38" i="1"/>
  <c r="K38" i="1"/>
  <c r="O38" i="1"/>
  <c r="G38" i="1"/>
  <c r="J38" i="1"/>
  <c r="N38" i="1"/>
  <c r="F38" i="1"/>
  <c r="B39" i="1"/>
  <c r="D38" i="1"/>
  <c r="C37" i="1"/>
  <c r="M39" i="1" l="1"/>
  <c r="I39" i="1"/>
  <c r="E39" i="1"/>
  <c r="P39" i="1"/>
  <c r="L39" i="1"/>
  <c r="H39" i="1"/>
  <c r="O39" i="1"/>
  <c r="G39" i="1"/>
  <c r="K39" i="1"/>
  <c r="N39" i="1"/>
  <c r="J39" i="1"/>
  <c r="F39" i="1"/>
  <c r="C38" i="1"/>
  <c r="B40" i="1"/>
  <c r="D39" i="1"/>
  <c r="M40" i="1" l="1"/>
  <c r="I40" i="1"/>
  <c r="E40" i="1"/>
  <c r="P40" i="1"/>
  <c r="L40" i="1"/>
  <c r="H40" i="1"/>
  <c r="K40" i="1"/>
  <c r="O40" i="1"/>
  <c r="G40" i="1"/>
  <c r="N40" i="1"/>
  <c r="F40" i="1"/>
  <c r="J40" i="1"/>
  <c r="C39" i="1"/>
  <c r="B41" i="1"/>
  <c r="D40" i="1"/>
  <c r="C40" i="1" l="1"/>
  <c r="M41" i="1"/>
  <c r="I41" i="1"/>
  <c r="E41" i="1"/>
  <c r="P41" i="1"/>
  <c r="L41" i="1"/>
  <c r="H41" i="1"/>
  <c r="O41" i="1"/>
  <c r="G41" i="1"/>
  <c r="K41" i="1"/>
  <c r="F41" i="1"/>
  <c r="J41" i="1"/>
  <c r="N41" i="1"/>
  <c r="D41" i="1"/>
  <c r="B42" i="1"/>
  <c r="M42" i="1" l="1"/>
  <c r="I42" i="1"/>
  <c r="E42" i="1"/>
  <c r="P42" i="1"/>
  <c r="L42" i="1"/>
  <c r="H42" i="1"/>
  <c r="K42" i="1"/>
  <c r="O42" i="1"/>
  <c r="G42" i="1"/>
  <c r="J42" i="1"/>
  <c r="F42" i="1"/>
  <c r="N42" i="1"/>
  <c r="C41" i="1"/>
  <c r="B43" i="1"/>
  <c r="D42" i="1"/>
  <c r="M43" i="1" l="1"/>
  <c r="I43" i="1"/>
  <c r="E43" i="1"/>
  <c r="P43" i="1"/>
  <c r="L43" i="1"/>
  <c r="H43" i="1"/>
  <c r="O43" i="1"/>
  <c r="G43" i="1"/>
  <c r="K43" i="1"/>
  <c r="N43" i="1"/>
  <c r="J43" i="1"/>
  <c r="F43" i="1"/>
  <c r="C42" i="1"/>
  <c r="B44" i="1"/>
  <c r="D43" i="1"/>
  <c r="M44" i="1" l="1"/>
  <c r="I44" i="1"/>
  <c r="E44" i="1"/>
  <c r="P44" i="1"/>
  <c r="L44" i="1"/>
  <c r="H44" i="1"/>
  <c r="K44" i="1"/>
  <c r="O44" i="1"/>
  <c r="G44" i="1"/>
  <c r="N44" i="1"/>
  <c r="F44" i="1"/>
  <c r="J44" i="1"/>
  <c r="C43" i="1"/>
  <c r="B45" i="1"/>
  <c r="D44" i="1"/>
  <c r="M45" i="1" l="1"/>
  <c r="I45" i="1"/>
  <c r="E45" i="1"/>
  <c r="P45" i="1"/>
  <c r="L45" i="1"/>
  <c r="H45" i="1"/>
  <c r="O45" i="1"/>
  <c r="G45" i="1"/>
  <c r="N45" i="1"/>
  <c r="K45" i="1"/>
  <c r="F45" i="1"/>
  <c r="J45" i="1"/>
  <c r="C44" i="1"/>
  <c r="B46" i="1"/>
  <c r="D45" i="1"/>
  <c r="M46" i="1" l="1"/>
  <c r="I46" i="1"/>
  <c r="E46" i="1"/>
  <c r="P46" i="1"/>
  <c r="L46" i="1"/>
  <c r="H46" i="1"/>
  <c r="K46" i="1"/>
  <c r="J46" i="1"/>
  <c r="O46" i="1"/>
  <c r="G46" i="1"/>
  <c r="N46" i="1"/>
  <c r="F46" i="1"/>
  <c r="C45" i="1"/>
  <c r="B47" i="1"/>
  <c r="D46" i="1"/>
  <c r="M47" i="1" l="1"/>
  <c r="I47" i="1"/>
  <c r="E47" i="1"/>
  <c r="P47" i="1"/>
  <c r="L47" i="1"/>
  <c r="H47" i="1"/>
  <c r="O47" i="1"/>
  <c r="G47" i="1"/>
  <c r="N47" i="1"/>
  <c r="F47" i="1"/>
  <c r="K47" i="1"/>
  <c r="J47" i="1"/>
  <c r="B48" i="1"/>
  <c r="D47" i="1"/>
  <c r="C46" i="1"/>
  <c r="M48" i="1" l="1"/>
  <c r="I48" i="1"/>
  <c r="E48" i="1"/>
  <c r="P48" i="1"/>
  <c r="L48" i="1"/>
  <c r="H48" i="1"/>
  <c r="K48" i="1"/>
  <c r="J48" i="1"/>
  <c r="O48" i="1"/>
  <c r="G48" i="1"/>
  <c r="F48" i="1"/>
  <c r="N48" i="1"/>
  <c r="C47" i="1"/>
  <c r="D48" i="1"/>
  <c r="B49" i="1"/>
  <c r="M49" i="1" l="1"/>
  <c r="I49" i="1"/>
  <c r="E49" i="1"/>
  <c r="P49" i="1"/>
  <c r="L49" i="1"/>
  <c r="H49" i="1"/>
  <c r="O49" i="1"/>
  <c r="G49" i="1"/>
  <c r="N49" i="1"/>
  <c r="F49" i="1"/>
  <c r="K49" i="1"/>
  <c r="J49" i="1"/>
  <c r="C48" i="1"/>
  <c r="D49" i="1"/>
  <c r="B50" i="1"/>
  <c r="M50" i="1" l="1"/>
  <c r="I50" i="1"/>
  <c r="E50" i="1"/>
  <c r="P50" i="1"/>
  <c r="L50" i="1"/>
  <c r="H50" i="1"/>
  <c r="K50" i="1"/>
  <c r="J50" i="1"/>
  <c r="O50" i="1"/>
  <c r="G50" i="1"/>
  <c r="F50" i="1"/>
  <c r="N50" i="1"/>
  <c r="B51" i="1"/>
  <c r="D50" i="1"/>
  <c r="C49" i="1"/>
  <c r="M51" i="1" l="1"/>
  <c r="I51" i="1"/>
  <c r="E51" i="1"/>
  <c r="P51" i="1"/>
  <c r="L51" i="1"/>
  <c r="H51" i="1"/>
  <c r="O51" i="1"/>
  <c r="G51" i="1"/>
  <c r="N51" i="1"/>
  <c r="F51" i="1"/>
  <c r="K51" i="1"/>
  <c r="J51" i="1"/>
  <c r="C50" i="1"/>
  <c r="B52" i="1"/>
  <c r="D51" i="1"/>
  <c r="M52" i="1" l="1"/>
  <c r="I52" i="1"/>
  <c r="E52" i="1"/>
  <c r="P52" i="1"/>
  <c r="L52" i="1"/>
  <c r="H52" i="1"/>
  <c r="K52" i="1"/>
  <c r="J52" i="1"/>
  <c r="O52" i="1"/>
  <c r="G52" i="1"/>
  <c r="N52" i="1"/>
  <c r="F52" i="1"/>
  <c r="C51" i="1"/>
  <c r="B53" i="1"/>
  <c r="D52" i="1"/>
  <c r="M53" i="1" l="1"/>
  <c r="I53" i="1"/>
  <c r="E53" i="1"/>
  <c r="P53" i="1"/>
  <c r="L53" i="1"/>
  <c r="H53" i="1"/>
  <c r="O53" i="1"/>
  <c r="G53" i="1"/>
  <c r="N53" i="1"/>
  <c r="F53" i="1"/>
  <c r="K53" i="1"/>
  <c r="J53" i="1"/>
  <c r="D53" i="1"/>
  <c r="B54" i="1"/>
  <c r="C52" i="1"/>
  <c r="M54" i="1" l="1"/>
  <c r="I54" i="1"/>
  <c r="E54" i="1"/>
  <c r="P54" i="1"/>
  <c r="L54" i="1"/>
  <c r="H54" i="1"/>
  <c r="K54" i="1"/>
  <c r="J54" i="1"/>
  <c r="O54" i="1"/>
  <c r="G54" i="1"/>
  <c r="N54" i="1"/>
  <c r="F54" i="1"/>
  <c r="B55" i="1"/>
  <c r="D54" i="1"/>
  <c r="C53" i="1"/>
  <c r="M55" i="1" l="1"/>
  <c r="I55" i="1"/>
  <c r="E55" i="1"/>
  <c r="P55" i="1"/>
  <c r="L55" i="1"/>
  <c r="H55" i="1"/>
  <c r="O55" i="1"/>
  <c r="G55" i="1"/>
  <c r="N55" i="1"/>
  <c r="F55" i="1"/>
  <c r="K55" i="1"/>
  <c r="J55" i="1"/>
  <c r="C54" i="1"/>
  <c r="B56" i="1"/>
  <c r="D55" i="1"/>
  <c r="M56" i="1" l="1"/>
  <c r="I56" i="1"/>
  <c r="E56" i="1"/>
  <c r="P56" i="1"/>
  <c r="L56" i="1"/>
  <c r="H56" i="1"/>
  <c r="K56" i="1"/>
  <c r="J56" i="1"/>
  <c r="O56" i="1"/>
  <c r="G56" i="1"/>
  <c r="F56" i="1"/>
  <c r="N56" i="1"/>
  <c r="C55" i="1"/>
  <c r="B57" i="1"/>
  <c r="D56" i="1"/>
  <c r="M57" i="1" l="1"/>
  <c r="I57" i="1"/>
  <c r="E57" i="1"/>
  <c r="P57" i="1"/>
  <c r="L57" i="1"/>
  <c r="H57" i="1"/>
  <c r="O57" i="1"/>
  <c r="G57" i="1"/>
  <c r="N57" i="1"/>
  <c r="F57" i="1"/>
  <c r="K57" i="1"/>
  <c r="J57" i="1"/>
  <c r="C56" i="1"/>
  <c r="B58" i="1"/>
  <c r="D57" i="1"/>
  <c r="M58" i="1" l="1"/>
  <c r="I58" i="1"/>
  <c r="E58" i="1"/>
  <c r="P58" i="1"/>
  <c r="L58" i="1"/>
  <c r="H58" i="1"/>
  <c r="K58" i="1"/>
  <c r="J58" i="1"/>
  <c r="O58" i="1"/>
  <c r="G58" i="1"/>
  <c r="F58" i="1"/>
  <c r="N58" i="1"/>
  <c r="C57" i="1"/>
  <c r="B59" i="1"/>
  <c r="D58" i="1"/>
  <c r="M59" i="1" l="1"/>
  <c r="I59" i="1"/>
  <c r="E59" i="1"/>
  <c r="P59" i="1"/>
  <c r="L59" i="1"/>
  <c r="H59" i="1"/>
  <c r="O59" i="1"/>
  <c r="G59" i="1"/>
  <c r="N59" i="1"/>
  <c r="F59" i="1"/>
  <c r="K59" i="1"/>
  <c r="J59" i="1"/>
  <c r="C58" i="1"/>
  <c r="B60" i="1"/>
  <c r="D59" i="1"/>
  <c r="M60" i="1" l="1"/>
  <c r="I60" i="1"/>
  <c r="E60" i="1"/>
  <c r="P60" i="1"/>
  <c r="L60" i="1"/>
  <c r="H60" i="1"/>
  <c r="K60" i="1"/>
  <c r="J60" i="1"/>
  <c r="O60" i="1"/>
  <c r="G60" i="1"/>
  <c r="N60" i="1"/>
  <c r="F60" i="1"/>
  <c r="B61" i="1"/>
  <c r="D60" i="1"/>
  <c r="C59" i="1"/>
  <c r="C60" i="1" l="1"/>
  <c r="M61" i="1"/>
  <c r="I61" i="1"/>
  <c r="E61" i="1"/>
  <c r="P61" i="1"/>
  <c r="L61" i="1"/>
  <c r="H61" i="1"/>
  <c r="O61" i="1"/>
  <c r="G61" i="1"/>
  <c r="N61" i="1"/>
  <c r="F61" i="1"/>
  <c r="K61" i="1"/>
  <c r="J61" i="1"/>
  <c r="B62" i="1"/>
  <c r="D61" i="1"/>
  <c r="M62" i="1" l="1"/>
  <c r="I62" i="1"/>
  <c r="E62" i="1"/>
  <c r="P62" i="1"/>
  <c r="L62" i="1"/>
  <c r="H62" i="1"/>
  <c r="K62" i="1"/>
  <c r="J62" i="1"/>
  <c r="O62" i="1"/>
  <c r="G62" i="1"/>
  <c r="N62" i="1"/>
  <c r="F62" i="1"/>
  <c r="C61" i="1"/>
  <c r="D62" i="1"/>
  <c r="B63" i="1"/>
  <c r="M63" i="1" l="1"/>
  <c r="I63" i="1"/>
  <c r="E63" i="1"/>
  <c r="P63" i="1"/>
  <c r="L63" i="1"/>
  <c r="H63" i="1"/>
  <c r="O63" i="1"/>
  <c r="G63" i="1"/>
  <c r="N63" i="1"/>
  <c r="F63" i="1"/>
  <c r="K63" i="1"/>
  <c r="J63" i="1"/>
  <c r="B64" i="1"/>
  <c r="D63" i="1"/>
  <c r="C62" i="1"/>
  <c r="M64" i="1" l="1"/>
  <c r="I64" i="1"/>
  <c r="E64" i="1"/>
  <c r="P64" i="1"/>
  <c r="L64" i="1"/>
  <c r="H64" i="1"/>
  <c r="K64" i="1"/>
  <c r="J64" i="1"/>
  <c r="O64" i="1"/>
  <c r="G64" i="1"/>
  <c r="N64" i="1"/>
  <c r="F64" i="1"/>
  <c r="D64" i="1"/>
  <c r="B65" i="1"/>
  <c r="C63" i="1"/>
  <c r="M65" i="1" l="1"/>
  <c r="I65" i="1"/>
  <c r="E65" i="1"/>
  <c r="P65" i="1"/>
  <c r="L65" i="1"/>
  <c r="H65" i="1"/>
  <c r="O65" i="1"/>
  <c r="G65" i="1"/>
  <c r="N65" i="1"/>
  <c r="F65" i="1"/>
  <c r="K65" i="1"/>
  <c r="J65" i="1"/>
  <c r="D65" i="1"/>
  <c r="B66" i="1"/>
  <c r="C64" i="1"/>
  <c r="M66" i="1" l="1"/>
  <c r="I66" i="1"/>
  <c r="E66" i="1"/>
  <c r="P66" i="1"/>
  <c r="L66" i="1"/>
  <c r="H66" i="1"/>
  <c r="K66" i="1"/>
  <c r="J66" i="1"/>
  <c r="O66" i="1"/>
  <c r="G66" i="1"/>
  <c r="F66" i="1"/>
  <c r="N66" i="1"/>
  <c r="B67" i="1"/>
  <c r="D66" i="1"/>
  <c r="C65" i="1"/>
  <c r="M67" i="1" l="1"/>
  <c r="I67" i="1"/>
  <c r="E67" i="1"/>
  <c r="P67" i="1"/>
  <c r="L67" i="1"/>
  <c r="H67" i="1"/>
  <c r="O67" i="1"/>
  <c r="G67" i="1"/>
  <c r="N67" i="1"/>
  <c r="F67" i="1"/>
  <c r="K67" i="1"/>
  <c r="J67" i="1"/>
  <c r="C66" i="1"/>
  <c r="D67" i="1"/>
  <c r="B68" i="1"/>
  <c r="O68" i="1" l="1"/>
  <c r="N68" i="1"/>
  <c r="M68" i="1"/>
  <c r="I68" i="1"/>
  <c r="E68" i="1"/>
  <c r="L68" i="1"/>
  <c r="H68" i="1"/>
  <c r="K68" i="1"/>
  <c r="J68" i="1"/>
  <c r="G68" i="1"/>
  <c r="P68" i="1"/>
  <c r="F68" i="1"/>
  <c r="B69" i="1"/>
  <c r="D68" i="1"/>
  <c r="C67" i="1"/>
  <c r="O69" i="1" l="1"/>
  <c r="K69" i="1"/>
  <c r="G69" i="1"/>
  <c r="N69" i="1"/>
  <c r="J69" i="1"/>
  <c r="F69" i="1"/>
  <c r="I69" i="1"/>
  <c r="P69" i="1"/>
  <c r="H69" i="1"/>
  <c r="M69" i="1"/>
  <c r="L69" i="1"/>
  <c r="E69" i="1"/>
  <c r="C68" i="1"/>
  <c r="D69" i="1"/>
  <c r="B70" i="1"/>
  <c r="O70" i="1" l="1"/>
  <c r="K70" i="1"/>
  <c r="G70" i="1"/>
  <c r="N70" i="1"/>
  <c r="J70" i="1"/>
  <c r="F70" i="1"/>
  <c r="M70" i="1"/>
  <c r="E70" i="1"/>
  <c r="L70" i="1"/>
  <c r="P70" i="1"/>
  <c r="I70" i="1"/>
  <c r="H70" i="1"/>
  <c r="B71" i="1"/>
  <c r="D70" i="1"/>
  <c r="C69" i="1"/>
  <c r="O71" i="1" l="1"/>
  <c r="K71" i="1"/>
  <c r="G71" i="1"/>
  <c r="N71" i="1"/>
  <c r="J71" i="1"/>
  <c r="F71" i="1"/>
  <c r="I71" i="1"/>
  <c r="P71" i="1"/>
  <c r="H71" i="1"/>
  <c r="E71" i="1"/>
  <c r="M71" i="1"/>
  <c r="L71" i="1"/>
  <c r="C70" i="1"/>
  <c r="D71" i="1"/>
  <c r="B72" i="1"/>
  <c r="O72" i="1" l="1"/>
  <c r="K72" i="1"/>
  <c r="G72" i="1"/>
  <c r="N72" i="1"/>
  <c r="J72" i="1"/>
  <c r="F72" i="1"/>
  <c r="M72" i="1"/>
  <c r="E72" i="1"/>
  <c r="L72" i="1"/>
  <c r="I72" i="1"/>
  <c r="H72" i="1"/>
  <c r="P72" i="1"/>
  <c r="C71" i="1"/>
  <c r="B73" i="1"/>
  <c r="D72" i="1"/>
  <c r="O73" i="1" l="1"/>
  <c r="K73" i="1"/>
  <c r="G73" i="1"/>
  <c r="N73" i="1"/>
  <c r="J73" i="1"/>
  <c r="F73" i="1"/>
  <c r="I73" i="1"/>
  <c r="P73" i="1"/>
  <c r="H73" i="1"/>
  <c r="M73" i="1"/>
  <c r="L73" i="1"/>
  <c r="E73" i="1"/>
  <c r="B74" i="1"/>
  <c r="D73" i="1"/>
  <c r="C72" i="1"/>
  <c r="O74" i="1" l="1"/>
  <c r="K74" i="1"/>
  <c r="G74" i="1"/>
  <c r="N74" i="1"/>
  <c r="J74" i="1"/>
  <c r="F74" i="1"/>
  <c r="M74" i="1"/>
  <c r="E74" i="1"/>
  <c r="L74" i="1"/>
  <c r="P74" i="1"/>
  <c r="I74" i="1"/>
  <c r="H74" i="1"/>
  <c r="D74" i="1"/>
  <c r="B75" i="1"/>
  <c r="C73" i="1"/>
  <c r="O75" i="1" l="1"/>
  <c r="K75" i="1"/>
  <c r="G75" i="1"/>
  <c r="N75" i="1"/>
  <c r="J75" i="1"/>
  <c r="F75" i="1"/>
  <c r="I75" i="1"/>
  <c r="P75" i="1"/>
  <c r="H75" i="1"/>
  <c r="E75" i="1"/>
  <c r="M75" i="1"/>
  <c r="L75" i="1"/>
  <c r="B76" i="1"/>
  <c r="D75" i="1"/>
  <c r="C74" i="1"/>
  <c r="C75" i="1" l="1"/>
  <c r="O76" i="1"/>
  <c r="K76" i="1"/>
  <c r="G76" i="1"/>
  <c r="N76" i="1"/>
  <c r="J76" i="1"/>
  <c r="F76" i="1"/>
  <c r="M76" i="1"/>
  <c r="E76" i="1"/>
  <c r="L76" i="1"/>
  <c r="I76" i="1"/>
  <c r="H76" i="1"/>
  <c r="P76" i="1"/>
  <c r="B77" i="1"/>
  <c r="D76" i="1"/>
  <c r="O77" i="1" l="1"/>
  <c r="K77" i="1"/>
  <c r="G77" i="1"/>
  <c r="N77" i="1"/>
  <c r="J77" i="1"/>
  <c r="F77" i="1"/>
  <c r="I77" i="1"/>
  <c r="P77" i="1"/>
  <c r="H77" i="1"/>
  <c r="M77" i="1"/>
  <c r="L77" i="1"/>
  <c r="E77" i="1"/>
  <c r="C76" i="1"/>
  <c r="B78" i="1"/>
  <c r="D77" i="1"/>
  <c r="O78" i="1" l="1"/>
  <c r="K78" i="1"/>
  <c r="G78" i="1"/>
  <c r="N78" i="1"/>
  <c r="J78" i="1"/>
  <c r="F78" i="1"/>
  <c r="M78" i="1"/>
  <c r="E78" i="1"/>
  <c r="L78" i="1"/>
  <c r="P78" i="1"/>
  <c r="I78" i="1"/>
  <c r="H78" i="1"/>
  <c r="C77" i="1"/>
  <c r="D78" i="1"/>
  <c r="B79" i="1"/>
  <c r="O79" i="1" l="1"/>
  <c r="K79" i="1"/>
  <c r="G79" i="1"/>
  <c r="N79" i="1"/>
  <c r="J79" i="1"/>
  <c r="F79" i="1"/>
  <c r="I79" i="1"/>
  <c r="P79" i="1"/>
  <c r="H79" i="1"/>
  <c r="E79" i="1"/>
  <c r="M79" i="1"/>
  <c r="L79" i="1"/>
  <c r="B80" i="1"/>
  <c r="D79" i="1"/>
  <c r="C78" i="1"/>
  <c r="O80" i="1" l="1"/>
  <c r="K80" i="1"/>
  <c r="G80" i="1"/>
  <c r="N80" i="1"/>
  <c r="J80" i="1"/>
  <c r="F80" i="1"/>
  <c r="M80" i="1"/>
  <c r="E80" i="1"/>
  <c r="L80" i="1"/>
  <c r="I80" i="1"/>
  <c r="H80" i="1"/>
  <c r="P80" i="1"/>
  <c r="C79" i="1"/>
  <c r="B81" i="1"/>
  <c r="D80" i="1"/>
  <c r="C80" i="1" l="1"/>
  <c r="O81" i="1"/>
  <c r="K81" i="1"/>
  <c r="G81" i="1"/>
  <c r="N81" i="1"/>
  <c r="J81" i="1"/>
  <c r="F81" i="1"/>
  <c r="I81" i="1"/>
  <c r="P81" i="1"/>
  <c r="H81" i="1"/>
  <c r="M81" i="1"/>
  <c r="L81" i="1"/>
  <c r="E81" i="1"/>
  <c r="D81" i="1"/>
  <c r="B82" i="1"/>
  <c r="O82" i="1" l="1"/>
  <c r="K82" i="1"/>
  <c r="G82" i="1"/>
  <c r="N82" i="1"/>
  <c r="J82" i="1"/>
  <c r="F82" i="1"/>
  <c r="M82" i="1"/>
  <c r="E82" i="1"/>
  <c r="L82" i="1"/>
  <c r="P82" i="1"/>
  <c r="I82" i="1"/>
  <c r="H82" i="1"/>
  <c r="B83" i="1"/>
  <c r="D82" i="1"/>
  <c r="C81" i="1"/>
  <c r="O83" i="1" l="1"/>
  <c r="K83" i="1"/>
  <c r="G83" i="1"/>
  <c r="N83" i="1"/>
  <c r="J83" i="1"/>
  <c r="F83" i="1"/>
  <c r="I83" i="1"/>
  <c r="P83" i="1"/>
  <c r="H83" i="1"/>
  <c r="E83" i="1"/>
  <c r="M83" i="1"/>
  <c r="L83" i="1"/>
  <c r="C82" i="1"/>
  <c r="B84" i="1"/>
  <c r="D83" i="1"/>
  <c r="O84" i="1" l="1"/>
  <c r="K84" i="1"/>
  <c r="G84" i="1"/>
  <c r="N84" i="1"/>
  <c r="J84" i="1"/>
  <c r="F84" i="1"/>
  <c r="M84" i="1"/>
  <c r="E84" i="1"/>
  <c r="L84" i="1"/>
  <c r="I84" i="1"/>
  <c r="H84" i="1"/>
  <c r="P84" i="1"/>
  <c r="C83" i="1"/>
  <c r="B85" i="1"/>
  <c r="D84" i="1"/>
  <c r="O85" i="1" l="1"/>
  <c r="K85" i="1"/>
  <c r="G85" i="1"/>
  <c r="N85" i="1"/>
  <c r="J85" i="1"/>
  <c r="F85" i="1"/>
  <c r="I85" i="1"/>
  <c r="P85" i="1"/>
  <c r="H85" i="1"/>
  <c r="M85" i="1"/>
  <c r="L85" i="1"/>
  <c r="E85" i="1"/>
  <c r="C84" i="1"/>
  <c r="B86" i="1"/>
  <c r="D85" i="1"/>
  <c r="O86" i="1" l="1"/>
  <c r="K86" i="1"/>
  <c r="G86" i="1"/>
  <c r="N86" i="1"/>
  <c r="J86" i="1"/>
  <c r="F86" i="1"/>
  <c r="M86" i="1"/>
  <c r="E86" i="1"/>
  <c r="L86" i="1"/>
  <c r="P86" i="1"/>
  <c r="I86" i="1"/>
  <c r="H86" i="1"/>
  <c r="D86" i="1"/>
  <c r="B87" i="1"/>
  <c r="C85" i="1"/>
  <c r="O87" i="1" l="1"/>
  <c r="K87" i="1"/>
  <c r="G87" i="1"/>
  <c r="N87" i="1"/>
  <c r="J87" i="1"/>
  <c r="F87" i="1"/>
  <c r="I87" i="1"/>
  <c r="P87" i="1"/>
  <c r="H87" i="1"/>
  <c r="E87" i="1"/>
  <c r="M87" i="1"/>
  <c r="L87" i="1"/>
  <c r="B88" i="1"/>
  <c r="D87" i="1"/>
  <c r="C86" i="1"/>
  <c r="O88" i="1" l="1"/>
  <c r="P88" i="1"/>
  <c r="K88" i="1"/>
  <c r="G88" i="1"/>
  <c r="N88" i="1"/>
  <c r="J88" i="1"/>
  <c r="F88" i="1"/>
  <c r="M88" i="1"/>
  <c r="E88" i="1"/>
  <c r="L88" i="1"/>
  <c r="I88" i="1"/>
  <c r="H88" i="1"/>
  <c r="C87" i="1"/>
  <c r="B89" i="1"/>
  <c r="D88" i="1"/>
  <c r="C88" i="1" l="1"/>
  <c r="O89" i="1"/>
  <c r="K89" i="1"/>
  <c r="G89" i="1"/>
  <c r="N89" i="1"/>
  <c r="I89" i="1"/>
  <c r="M89" i="1"/>
  <c r="H89" i="1"/>
  <c r="L89" i="1"/>
  <c r="J89" i="1"/>
  <c r="P89" i="1"/>
  <c r="F89" i="1"/>
  <c r="E89" i="1"/>
  <c r="B90" i="1"/>
  <c r="D89" i="1"/>
  <c r="O90" i="1" l="1"/>
  <c r="K90" i="1"/>
  <c r="G90" i="1"/>
  <c r="M90" i="1"/>
  <c r="H90" i="1"/>
  <c r="L90" i="1"/>
  <c r="F90" i="1"/>
  <c r="J90" i="1"/>
  <c r="I90" i="1"/>
  <c r="E90" i="1"/>
  <c r="P90" i="1"/>
  <c r="N90" i="1"/>
  <c r="C89" i="1"/>
  <c r="B91" i="1"/>
  <c r="D90" i="1"/>
  <c r="P91" i="1" l="1"/>
  <c r="L91" i="1"/>
  <c r="H91" i="1"/>
  <c r="O91" i="1"/>
  <c r="K91" i="1"/>
  <c r="G91" i="1"/>
  <c r="N91" i="1"/>
  <c r="J91" i="1"/>
  <c r="F91" i="1"/>
  <c r="I91" i="1"/>
  <c r="E91" i="1"/>
  <c r="M91" i="1"/>
  <c r="C90" i="1"/>
  <c r="D91" i="1"/>
  <c r="B92" i="1"/>
  <c r="P92" i="1" l="1"/>
  <c r="L92" i="1"/>
  <c r="H92" i="1"/>
  <c r="O92" i="1"/>
  <c r="K92" i="1"/>
  <c r="G92" i="1"/>
  <c r="N92" i="1"/>
  <c r="J92" i="1"/>
  <c r="F92" i="1"/>
  <c r="M92" i="1"/>
  <c r="I92" i="1"/>
  <c r="E92" i="1"/>
  <c r="C91" i="1"/>
  <c r="B93" i="1"/>
  <c r="D92" i="1"/>
  <c r="P93" i="1" l="1"/>
  <c r="L93" i="1"/>
  <c r="H93" i="1"/>
  <c r="O93" i="1"/>
  <c r="K93" i="1"/>
  <c r="G93" i="1"/>
  <c r="N93" i="1"/>
  <c r="J93" i="1"/>
  <c r="F93" i="1"/>
  <c r="M93" i="1"/>
  <c r="I93" i="1"/>
  <c r="E93" i="1"/>
  <c r="B94" i="1"/>
  <c r="D93" i="1"/>
  <c r="C92" i="1"/>
  <c r="P94" i="1" l="1"/>
  <c r="L94" i="1"/>
  <c r="H94" i="1"/>
  <c r="O94" i="1"/>
  <c r="K94" i="1"/>
  <c r="G94" i="1"/>
  <c r="N94" i="1"/>
  <c r="J94" i="1"/>
  <c r="F94" i="1"/>
  <c r="E94" i="1"/>
  <c r="M94" i="1"/>
  <c r="I94" i="1"/>
  <c r="C93" i="1"/>
  <c r="B95" i="1"/>
  <c r="D94" i="1"/>
  <c r="P95" i="1" l="1"/>
  <c r="L95" i="1"/>
  <c r="H95" i="1"/>
  <c r="O95" i="1"/>
  <c r="K95" i="1"/>
  <c r="G95" i="1"/>
  <c r="N95" i="1"/>
  <c r="J95" i="1"/>
  <c r="F95" i="1"/>
  <c r="I95" i="1"/>
  <c r="E95" i="1"/>
  <c r="M95" i="1"/>
  <c r="B96" i="1"/>
  <c r="D95" i="1"/>
  <c r="C94" i="1"/>
  <c r="P96" i="1" l="1"/>
  <c r="L96" i="1"/>
  <c r="H96" i="1"/>
  <c r="O96" i="1"/>
  <c r="K96" i="1"/>
  <c r="G96" i="1"/>
  <c r="N96" i="1"/>
  <c r="J96" i="1"/>
  <c r="F96" i="1"/>
  <c r="M96" i="1"/>
  <c r="I96" i="1"/>
  <c r="E96" i="1"/>
  <c r="C95" i="1"/>
  <c r="B97" i="1"/>
  <c r="D96" i="1"/>
  <c r="P97" i="1" l="1"/>
  <c r="L97" i="1"/>
  <c r="H97" i="1"/>
  <c r="O97" i="1"/>
  <c r="K97" i="1"/>
  <c r="G97" i="1"/>
  <c r="N97" i="1"/>
  <c r="J97" i="1"/>
  <c r="F97" i="1"/>
  <c r="M97" i="1"/>
  <c r="I97" i="1"/>
  <c r="E97" i="1"/>
  <c r="B98" i="1"/>
  <c r="B99" i="1" s="1"/>
  <c r="D97" i="1"/>
  <c r="C96" i="1"/>
  <c r="P98" i="1" l="1"/>
  <c r="L98" i="1"/>
  <c r="H98" i="1"/>
  <c r="O98" i="1"/>
  <c r="K98" i="1"/>
  <c r="G98" i="1"/>
  <c r="N98" i="1"/>
  <c r="J98" i="1"/>
  <c r="F98" i="1"/>
  <c r="E98" i="1"/>
  <c r="M98" i="1"/>
  <c r="I98" i="1"/>
  <c r="C97" i="1"/>
  <c r="D98" i="1"/>
  <c r="P99" i="1" l="1"/>
  <c r="L99" i="1"/>
  <c r="H99" i="1"/>
  <c r="O99" i="1"/>
  <c r="K99" i="1"/>
  <c r="G99" i="1"/>
  <c r="N99" i="1"/>
  <c r="J99" i="1"/>
  <c r="F99" i="1"/>
  <c r="I99" i="1"/>
  <c r="E99" i="1"/>
  <c r="M99" i="1"/>
  <c r="C98" i="1"/>
  <c r="B100" i="1"/>
  <c r="D99" i="1"/>
  <c r="P100" i="1" l="1"/>
  <c r="L100" i="1"/>
  <c r="H100" i="1"/>
  <c r="O100" i="1"/>
  <c r="K100" i="1"/>
  <c r="G100" i="1"/>
  <c r="N100" i="1"/>
  <c r="J100" i="1"/>
  <c r="F100" i="1"/>
  <c r="M100" i="1"/>
  <c r="I100" i="1"/>
  <c r="E100" i="1"/>
  <c r="C99" i="1"/>
  <c r="B101" i="1"/>
  <c r="D100" i="1"/>
  <c r="P101" i="1" l="1"/>
  <c r="L101" i="1"/>
  <c r="H101" i="1"/>
  <c r="O101" i="1"/>
  <c r="K101" i="1"/>
  <c r="G101" i="1"/>
  <c r="N101" i="1"/>
  <c r="J101" i="1"/>
  <c r="F101" i="1"/>
  <c r="M101" i="1"/>
  <c r="I101" i="1"/>
  <c r="E101" i="1"/>
  <c r="B102" i="1"/>
  <c r="D101" i="1"/>
  <c r="C100" i="1"/>
  <c r="P102" i="1" l="1"/>
  <c r="L102" i="1"/>
  <c r="H102" i="1"/>
  <c r="O102" i="1"/>
  <c r="K102" i="1"/>
  <c r="G102" i="1"/>
  <c r="N102" i="1"/>
  <c r="J102" i="1"/>
  <c r="F102" i="1"/>
  <c r="E102" i="1"/>
  <c r="M102" i="1"/>
  <c r="I102" i="1"/>
  <c r="C101" i="1"/>
  <c r="D102" i="1"/>
  <c r="B103" i="1"/>
  <c r="P103" i="1" l="1"/>
  <c r="L103" i="1"/>
  <c r="H103" i="1"/>
  <c r="O103" i="1"/>
  <c r="K103" i="1"/>
  <c r="G103" i="1"/>
  <c r="N103" i="1"/>
  <c r="J103" i="1"/>
  <c r="F103" i="1"/>
  <c r="I103" i="1"/>
  <c r="E103" i="1"/>
  <c r="M103" i="1"/>
  <c r="B104" i="1"/>
  <c r="D103" i="1"/>
  <c r="C102" i="1"/>
  <c r="P104" i="1" l="1"/>
  <c r="L104" i="1"/>
  <c r="H104" i="1"/>
  <c r="O104" i="1"/>
  <c r="K104" i="1"/>
  <c r="G104" i="1"/>
  <c r="N104" i="1"/>
  <c r="J104" i="1"/>
  <c r="F104" i="1"/>
  <c r="M104" i="1"/>
  <c r="I104" i="1"/>
  <c r="E104" i="1"/>
  <c r="C103" i="1"/>
  <c r="B105" i="1"/>
  <c r="D104" i="1"/>
  <c r="P105" i="1" l="1"/>
  <c r="L105" i="1"/>
  <c r="H105" i="1"/>
  <c r="O105" i="1"/>
  <c r="K105" i="1"/>
  <c r="G105" i="1"/>
  <c r="N105" i="1"/>
  <c r="J105" i="1"/>
  <c r="F105" i="1"/>
  <c r="M105" i="1"/>
  <c r="I105" i="1"/>
  <c r="E105" i="1"/>
  <c r="C104" i="1"/>
  <c r="B106" i="1"/>
  <c r="D105" i="1"/>
  <c r="P106" i="1" l="1"/>
  <c r="L106" i="1"/>
  <c r="H106" i="1"/>
  <c r="O106" i="1"/>
  <c r="K106" i="1"/>
  <c r="G106" i="1"/>
  <c r="N106" i="1"/>
  <c r="J106" i="1"/>
  <c r="F106" i="1"/>
  <c r="E106" i="1"/>
  <c r="M106" i="1"/>
  <c r="I106" i="1"/>
  <c r="C105" i="1"/>
  <c r="D106" i="1"/>
  <c r="B107" i="1"/>
  <c r="P107" i="1" l="1"/>
  <c r="L107" i="1"/>
  <c r="H107" i="1"/>
  <c r="O107" i="1"/>
  <c r="K107" i="1"/>
  <c r="G107" i="1"/>
  <c r="N107" i="1"/>
  <c r="J107" i="1"/>
  <c r="F107" i="1"/>
  <c r="I107" i="1"/>
  <c r="E107" i="1"/>
  <c r="M107" i="1"/>
  <c r="C106" i="1"/>
  <c r="B108" i="1"/>
  <c r="D107" i="1"/>
  <c r="C107" i="1" l="1"/>
  <c r="P108" i="1"/>
  <c r="L108" i="1"/>
  <c r="H108" i="1"/>
  <c r="O108" i="1"/>
  <c r="K108" i="1"/>
  <c r="G108" i="1"/>
  <c r="N108" i="1"/>
  <c r="J108" i="1"/>
  <c r="F108" i="1"/>
  <c r="M108" i="1"/>
  <c r="I108" i="1"/>
  <c r="E108" i="1"/>
  <c r="D108" i="1"/>
  <c r="B109" i="1"/>
  <c r="P109" i="1" l="1"/>
  <c r="L109" i="1"/>
  <c r="H109" i="1"/>
  <c r="O109" i="1"/>
  <c r="K109" i="1"/>
  <c r="G109" i="1"/>
  <c r="N109" i="1"/>
  <c r="J109" i="1"/>
  <c r="F109" i="1"/>
  <c r="M109" i="1"/>
  <c r="I109" i="1"/>
  <c r="E109" i="1"/>
  <c r="B110" i="1"/>
  <c r="D109" i="1"/>
  <c r="C108" i="1"/>
  <c r="P110" i="1" l="1"/>
  <c r="L110" i="1"/>
  <c r="H110" i="1"/>
  <c r="O110" i="1"/>
  <c r="K110" i="1"/>
  <c r="G110" i="1"/>
  <c r="N110" i="1"/>
  <c r="J110" i="1"/>
  <c r="F110" i="1"/>
  <c r="E110" i="1"/>
  <c r="M110" i="1"/>
  <c r="I110" i="1"/>
  <c r="C109" i="1"/>
  <c r="B111" i="1"/>
  <c r="D110" i="1"/>
  <c r="P111" i="1" l="1"/>
  <c r="L111" i="1"/>
  <c r="H111" i="1"/>
  <c r="O111" i="1"/>
  <c r="K111" i="1"/>
  <c r="G111" i="1"/>
  <c r="N111" i="1"/>
  <c r="J111" i="1"/>
  <c r="F111" i="1"/>
  <c r="I111" i="1"/>
  <c r="E111" i="1"/>
  <c r="M111" i="1"/>
  <c r="C110" i="1"/>
  <c r="B112" i="1"/>
  <c r="D111" i="1"/>
  <c r="P112" i="1" l="1"/>
  <c r="L112" i="1"/>
  <c r="H112" i="1"/>
  <c r="O112" i="1"/>
  <c r="K112" i="1"/>
  <c r="G112" i="1"/>
  <c r="N112" i="1"/>
  <c r="J112" i="1"/>
  <c r="F112" i="1"/>
  <c r="M112" i="1"/>
  <c r="I112" i="1"/>
  <c r="E112" i="1"/>
  <c r="C111" i="1"/>
  <c r="B113" i="1"/>
  <c r="D112" i="1"/>
  <c r="P113" i="1" l="1"/>
  <c r="L113" i="1"/>
  <c r="H113" i="1"/>
  <c r="O113" i="1"/>
  <c r="K113" i="1"/>
  <c r="G113" i="1"/>
  <c r="N113" i="1"/>
  <c r="J113" i="1"/>
  <c r="F113" i="1"/>
  <c r="M113" i="1"/>
  <c r="I113" i="1"/>
  <c r="E113" i="1"/>
  <c r="C112" i="1"/>
  <c r="B114" i="1"/>
  <c r="D113" i="1"/>
  <c r="P114" i="1" l="1"/>
  <c r="L114" i="1"/>
  <c r="H114" i="1"/>
  <c r="O114" i="1"/>
  <c r="K114" i="1"/>
  <c r="G114" i="1"/>
  <c r="N114" i="1"/>
  <c r="J114" i="1"/>
  <c r="F114" i="1"/>
  <c r="E114" i="1"/>
  <c r="M114" i="1"/>
  <c r="I114" i="1"/>
  <c r="B115" i="1"/>
  <c r="D114" i="1"/>
  <c r="C113" i="1"/>
  <c r="P115" i="1" l="1"/>
  <c r="L115" i="1"/>
  <c r="H115" i="1"/>
  <c r="O115" i="1"/>
  <c r="K115" i="1"/>
  <c r="G115" i="1"/>
  <c r="N115" i="1"/>
  <c r="J115" i="1"/>
  <c r="F115" i="1"/>
  <c r="I115" i="1"/>
  <c r="E115" i="1"/>
  <c r="M115" i="1"/>
  <c r="C114" i="1"/>
  <c r="B116" i="1"/>
  <c r="D115" i="1"/>
  <c r="P116" i="1" l="1"/>
  <c r="L116" i="1"/>
  <c r="H116" i="1"/>
  <c r="O116" i="1"/>
  <c r="K116" i="1"/>
  <c r="G116" i="1"/>
  <c r="N116" i="1"/>
  <c r="J116" i="1"/>
  <c r="F116" i="1"/>
  <c r="M116" i="1"/>
  <c r="I116" i="1"/>
  <c r="E116" i="1"/>
  <c r="D116" i="1"/>
  <c r="C115" i="1"/>
  <c r="C116" i="1" l="1"/>
</calcChain>
</file>

<file path=xl/sharedStrings.xml><?xml version="1.0" encoding="utf-8"?>
<sst xmlns="http://schemas.openxmlformats.org/spreadsheetml/2006/main" count="146" uniqueCount="98">
  <si>
    <t>Call</t>
  </si>
  <si>
    <t>Put</t>
  </si>
  <si>
    <t>Premium</t>
  </si>
  <si>
    <t>--Select</t>
  </si>
  <si>
    <t>Short</t>
  </si>
  <si>
    <t>Long</t>
  </si>
  <si>
    <t>Leg 1</t>
  </si>
  <si>
    <t>Leg 2</t>
  </si>
  <si>
    <t>Leg 3</t>
  </si>
  <si>
    <t>Leg 4</t>
  </si>
  <si>
    <t>Leg 5</t>
  </si>
  <si>
    <t>Leg 6</t>
  </si>
  <si>
    <t>Leg 7</t>
  </si>
  <si>
    <t>Leg 8</t>
  </si>
  <si>
    <t>Leg 9</t>
  </si>
  <si>
    <t>Leg 10</t>
  </si>
  <si>
    <t>Leg 11</t>
  </si>
  <si>
    <t>Leg 12</t>
  </si>
  <si>
    <t>Sous-jacent</t>
  </si>
  <si>
    <t>Type</t>
  </si>
  <si>
    <t>Long/Short</t>
  </si>
  <si>
    <t>Strike Price</t>
  </si>
  <si>
    <t>Qté</t>
  </si>
  <si>
    <t>Quantité</t>
  </si>
  <si>
    <t>P&amp;L action</t>
  </si>
  <si>
    <t>Prix achat</t>
  </si>
  <si>
    <t>Affichage</t>
  </si>
  <si>
    <t>P &amp; L</t>
  </si>
  <si>
    <t>Prix sous-jacent</t>
  </si>
  <si>
    <t>P&amp;L Leg 1</t>
  </si>
  <si>
    <t>P&amp;L Leg 2</t>
  </si>
  <si>
    <t>P&amp;L Leg 3</t>
  </si>
  <si>
    <t>P&amp;L Leg 4</t>
  </si>
  <si>
    <t>P&amp;L Leg 5</t>
  </si>
  <si>
    <t>P&amp;L Leg 6</t>
  </si>
  <si>
    <t>P&amp;L Leg 7</t>
  </si>
  <si>
    <t>P&amp;L Leg 8</t>
  </si>
  <si>
    <t>P&amp;L Leg 9</t>
  </si>
  <si>
    <t>P&amp;L Leg 10</t>
  </si>
  <si>
    <t>P&amp;L Leg 11</t>
  </si>
  <si>
    <t>P&amp;L Leg 12</t>
  </si>
  <si>
    <t>Prix exercice</t>
  </si>
  <si>
    <t>Volatilité</t>
  </si>
  <si>
    <t>Taux d'intérêt</t>
  </si>
  <si>
    <t>Dividende (%)</t>
  </si>
  <si>
    <t>Expiration</t>
  </si>
  <si>
    <t>d1</t>
  </si>
  <si>
    <t>d2</t>
  </si>
  <si>
    <t>Achat 427</t>
  </si>
  <si>
    <t>Vente 428</t>
  </si>
  <si>
    <t>Intrinsic V</t>
  </si>
  <si>
    <t>Extr Value</t>
  </si>
  <si>
    <t>IV</t>
  </si>
  <si>
    <t>Spot</t>
  </si>
  <si>
    <t>Call 418/420</t>
  </si>
  <si>
    <t>Coût</t>
  </si>
  <si>
    <t>Risque</t>
  </si>
  <si>
    <t>Reward</t>
  </si>
  <si>
    <t>Ratio</t>
  </si>
  <si>
    <t>Put 420/418</t>
  </si>
  <si>
    <t>Achat 420, Vente 418</t>
  </si>
  <si>
    <t>Spread baissier</t>
  </si>
  <si>
    <t>Spread</t>
  </si>
  <si>
    <t>Spread haussier</t>
  </si>
  <si>
    <t>Position</t>
  </si>
  <si>
    <t>Profit</t>
  </si>
  <si>
    <t>Stop Loss</t>
  </si>
  <si>
    <t>Commission</t>
  </si>
  <si>
    <t>Prix</t>
  </si>
  <si>
    <t>Strike</t>
  </si>
  <si>
    <t>PUT VALUE</t>
  </si>
  <si>
    <t>STP</t>
  </si>
  <si>
    <t>LMT</t>
  </si>
  <si>
    <t>MAX LOSS</t>
  </si>
  <si>
    <t>PROFIT</t>
  </si>
  <si>
    <t>Total</t>
  </si>
  <si>
    <t>Coût moyen</t>
  </si>
  <si>
    <t>Ordre</t>
  </si>
  <si>
    <t>CALL VALUE</t>
  </si>
  <si>
    <t>VENTE</t>
  </si>
  <si>
    <t>ACHAT</t>
  </si>
  <si>
    <t>Gain moyen</t>
  </si>
  <si>
    <t>Bid</t>
  </si>
  <si>
    <t>Ask</t>
  </si>
  <si>
    <t>Mid</t>
  </si>
  <si>
    <t>PAIR VALUE</t>
  </si>
  <si>
    <t>SPREAD</t>
  </si>
  <si>
    <t>Call 427/428</t>
  </si>
  <si>
    <t>Put 428/427</t>
  </si>
  <si>
    <t>Incrément</t>
  </si>
  <si>
    <t>Pt</t>
  </si>
  <si>
    <t>Delta</t>
  </si>
  <si>
    <t>Achat</t>
  </si>
  <si>
    <t>Vente</t>
  </si>
  <si>
    <t>Put Price</t>
  </si>
  <si>
    <t>Put Delta</t>
  </si>
  <si>
    <t>Call Price</t>
  </si>
  <si>
    <t>Call 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</si>
</sst>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0.5999633777886288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quotePrefix="1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2" borderId="0" xfId="0" quotePrefix="1" applyFill="1"/>
    <xf numFmtId="0" fontId="0" fillId="3" borderId="0" xfId="0" quotePrefix="1" applyFill="1"/>
    <xf numFmtId="0" fontId="0" fillId="4" borderId="0" xfId="0" applyFill="1"/>
    <xf numFmtId="0" fontId="0" fillId="5" borderId="0" xfId="0" applyFill="1"/>
    <xf numFmtId="2" fontId="0" fillId="0" borderId="0" xfId="0" applyNumberFormat="1"/>
    <xf numFmtId="9" fontId="1" fillId="0" borderId="0" xfId="0" applyNumberFormat="1" applyFont="1"/>
    <xf numFmtId="0" fontId="1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6" borderId="7" xfId="0" applyFill="1" applyBorder="1"/>
    <xf numFmtId="0" fontId="0" fillId="6" borderId="8" xfId="0" applyFill="1" applyBorder="1"/>
    <xf numFmtId="0" fontId="0" fillId="6" borderId="0" xfId="0" applyFill="1"/>
    <xf numFmtId="9" fontId="0" fillId="0" borderId="0" xfId="0" applyNumberFormat="1"/>
    <xf numFmtId="0" fontId="0" fillId="6" borderId="0" xfId="0" applyFill="1" applyBorder="1"/>
    <xf numFmtId="0" fontId="1" fillId="0" borderId="4" xfId="0" applyFont="1" applyBorder="1"/>
    <xf numFmtId="0" fontId="0" fillId="8" borderId="7" xfId="0" applyFill="1" applyBorder="1"/>
    <xf numFmtId="0" fontId="0" fillId="8" borderId="9" xfId="0" applyFill="1" applyBorder="1"/>
    <xf numFmtId="0" fontId="0" fillId="7" borderId="9" xfId="0" applyFont="1" applyFill="1" applyBorder="1"/>
    <xf numFmtId="0" fontId="0" fillId="0" borderId="10" xfId="0" applyFill="1" applyBorder="1"/>
    <xf numFmtId="0" fontId="0" fillId="0" borderId="11" xfId="0" applyBorder="1"/>
    <xf numFmtId="0" fontId="1" fillId="7" borderId="12" xfId="0" applyFont="1" applyFill="1" applyBorder="1"/>
    <xf numFmtId="0" fontId="0" fillId="0" borderId="1" xfId="0" applyBorder="1"/>
    <xf numFmtId="0" fontId="0" fillId="0" borderId="1" xfId="0" applyFill="1" applyBorder="1"/>
    <xf numFmtId="0" fontId="0" fillId="7" borderId="1" xfId="0" applyFont="1" applyFill="1" applyBorder="1"/>
    <xf numFmtId="0" fontId="0" fillId="0" borderId="6" xfId="0" applyFont="1" applyBorder="1"/>
    <xf numFmtId="0" fontId="0" fillId="8" borderId="0" xfId="0" applyFill="1" applyBorder="1"/>
    <xf numFmtId="0" fontId="0" fillId="0" borderId="2" xfId="0" applyBorder="1"/>
    <xf numFmtId="10" fontId="0" fillId="7" borderId="9" xfId="0" applyNumberFormat="1" applyFont="1" applyFill="1" applyBorder="1"/>
    <xf numFmtId="10" fontId="0" fillId="6" borderId="0" xfId="0" applyNumberFormat="1" applyFill="1" applyBorder="1"/>
    <xf numFmtId="2" fontId="0" fillId="7" borderId="9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donnees!$C$15</c:f>
              <c:strCache>
                <c:ptCount val="1"/>
                <c:pt idx="0">
                  <c:v>P &amp; 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donnees!$B$16:$B$116</c:f>
              <c:numCache>
                <c:formatCode>General</c:formatCode>
                <c:ptCount val="101"/>
                <c:pt idx="0">
                  <c:v>400</c:v>
                </c:pt>
                <c:pt idx="1">
                  <c:v>400.3</c:v>
                </c:pt>
                <c:pt idx="2">
                  <c:v>400.6</c:v>
                </c:pt>
                <c:pt idx="3">
                  <c:v>400.90000000000003</c:v>
                </c:pt>
                <c:pt idx="4">
                  <c:v>401.20000000000005</c:v>
                </c:pt>
                <c:pt idx="5">
                  <c:v>401.50000000000006</c:v>
                </c:pt>
                <c:pt idx="6">
                  <c:v>401.80000000000007</c:v>
                </c:pt>
                <c:pt idx="7">
                  <c:v>402.10000000000008</c:v>
                </c:pt>
                <c:pt idx="8">
                  <c:v>402.40000000000009</c:v>
                </c:pt>
                <c:pt idx="9">
                  <c:v>402.7000000000001</c:v>
                </c:pt>
                <c:pt idx="10">
                  <c:v>403.00000000000011</c:v>
                </c:pt>
                <c:pt idx="11">
                  <c:v>403.30000000000013</c:v>
                </c:pt>
                <c:pt idx="12">
                  <c:v>403.60000000000014</c:v>
                </c:pt>
                <c:pt idx="13">
                  <c:v>403.90000000000015</c:v>
                </c:pt>
                <c:pt idx="14">
                  <c:v>404.20000000000016</c:v>
                </c:pt>
                <c:pt idx="15">
                  <c:v>404.50000000000017</c:v>
                </c:pt>
                <c:pt idx="16">
                  <c:v>404.80000000000018</c:v>
                </c:pt>
                <c:pt idx="17">
                  <c:v>405.10000000000019</c:v>
                </c:pt>
                <c:pt idx="18">
                  <c:v>405.4000000000002</c:v>
                </c:pt>
                <c:pt idx="19">
                  <c:v>405.70000000000022</c:v>
                </c:pt>
                <c:pt idx="20">
                  <c:v>406.00000000000023</c:v>
                </c:pt>
                <c:pt idx="21">
                  <c:v>406.30000000000024</c:v>
                </c:pt>
                <c:pt idx="22">
                  <c:v>406.60000000000025</c:v>
                </c:pt>
                <c:pt idx="23">
                  <c:v>406.90000000000026</c:v>
                </c:pt>
                <c:pt idx="24">
                  <c:v>407.20000000000027</c:v>
                </c:pt>
                <c:pt idx="25">
                  <c:v>407.50000000000028</c:v>
                </c:pt>
                <c:pt idx="26">
                  <c:v>407.8000000000003</c:v>
                </c:pt>
                <c:pt idx="27">
                  <c:v>408.10000000000031</c:v>
                </c:pt>
                <c:pt idx="28">
                  <c:v>408.40000000000032</c:v>
                </c:pt>
                <c:pt idx="29">
                  <c:v>408.70000000000033</c:v>
                </c:pt>
                <c:pt idx="30">
                  <c:v>409.00000000000034</c:v>
                </c:pt>
                <c:pt idx="31">
                  <c:v>409.30000000000035</c:v>
                </c:pt>
                <c:pt idx="32">
                  <c:v>409.60000000000036</c:v>
                </c:pt>
                <c:pt idx="33">
                  <c:v>409.90000000000038</c:v>
                </c:pt>
                <c:pt idx="34">
                  <c:v>410.20000000000039</c:v>
                </c:pt>
                <c:pt idx="35">
                  <c:v>410.5000000000004</c:v>
                </c:pt>
                <c:pt idx="36">
                  <c:v>410.80000000000041</c:v>
                </c:pt>
                <c:pt idx="37">
                  <c:v>411.10000000000042</c:v>
                </c:pt>
                <c:pt idx="38">
                  <c:v>411.40000000000043</c:v>
                </c:pt>
                <c:pt idx="39">
                  <c:v>411.70000000000044</c:v>
                </c:pt>
                <c:pt idx="40">
                  <c:v>412.00000000000045</c:v>
                </c:pt>
                <c:pt idx="41">
                  <c:v>412.30000000000047</c:v>
                </c:pt>
                <c:pt idx="42">
                  <c:v>412.60000000000048</c:v>
                </c:pt>
                <c:pt idx="43">
                  <c:v>412.90000000000049</c:v>
                </c:pt>
                <c:pt idx="44">
                  <c:v>413.2000000000005</c:v>
                </c:pt>
                <c:pt idx="45">
                  <c:v>413.50000000000051</c:v>
                </c:pt>
                <c:pt idx="46">
                  <c:v>413.80000000000052</c:v>
                </c:pt>
                <c:pt idx="47">
                  <c:v>414.10000000000053</c:v>
                </c:pt>
                <c:pt idx="48">
                  <c:v>414.40000000000055</c:v>
                </c:pt>
                <c:pt idx="49">
                  <c:v>414.70000000000056</c:v>
                </c:pt>
                <c:pt idx="50">
                  <c:v>415.00000000000057</c:v>
                </c:pt>
                <c:pt idx="51">
                  <c:v>415.30000000000058</c:v>
                </c:pt>
                <c:pt idx="52">
                  <c:v>415.60000000000059</c:v>
                </c:pt>
                <c:pt idx="53">
                  <c:v>415.9000000000006</c:v>
                </c:pt>
                <c:pt idx="54">
                  <c:v>416.20000000000061</c:v>
                </c:pt>
                <c:pt idx="55">
                  <c:v>416.50000000000063</c:v>
                </c:pt>
                <c:pt idx="56">
                  <c:v>416.80000000000064</c:v>
                </c:pt>
                <c:pt idx="57">
                  <c:v>417.10000000000065</c:v>
                </c:pt>
                <c:pt idx="58">
                  <c:v>417.40000000000066</c:v>
                </c:pt>
                <c:pt idx="59">
                  <c:v>417.70000000000067</c:v>
                </c:pt>
                <c:pt idx="60">
                  <c:v>418.00000000000068</c:v>
                </c:pt>
                <c:pt idx="61">
                  <c:v>418.30000000000069</c:v>
                </c:pt>
                <c:pt idx="62">
                  <c:v>418.6000000000007</c:v>
                </c:pt>
                <c:pt idx="63">
                  <c:v>418.90000000000072</c:v>
                </c:pt>
                <c:pt idx="64">
                  <c:v>419.20000000000073</c:v>
                </c:pt>
                <c:pt idx="65">
                  <c:v>419.50000000000074</c:v>
                </c:pt>
                <c:pt idx="66">
                  <c:v>419.80000000000075</c:v>
                </c:pt>
                <c:pt idx="67">
                  <c:v>420.10000000000076</c:v>
                </c:pt>
                <c:pt idx="68">
                  <c:v>420.40000000000077</c:v>
                </c:pt>
                <c:pt idx="69">
                  <c:v>420.70000000000078</c:v>
                </c:pt>
                <c:pt idx="70">
                  <c:v>421.0000000000008</c:v>
                </c:pt>
                <c:pt idx="71">
                  <c:v>421.30000000000081</c:v>
                </c:pt>
                <c:pt idx="72">
                  <c:v>421.60000000000082</c:v>
                </c:pt>
                <c:pt idx="73">
                  <c:v>421.90000000000083</c:v>
                </c:pt>
                <c:pt idx="74">
                  <c:v>422.20000000000084</c:v>
                </c:pt>
                <c:pt idx="75">
                  <c:v>422.50000000000085</c:v>
                </c:pt>
                <c:pt idx="76">
                  <c:v>422.80000000000086</c:v>
                </c:pt>
                <c:pt idx="77">
                  <c:v>423.10000000000088</c:v>
                </c:pt>
                <c:pt idx="78">
                  <c:v>423.40000000000089</c:v>
                </c:pt>
                <c:pt idx="79">
                  <c:v>423.7000000000009</c:v>
                </c:pt>
                <c:pt idx="80">
                  <c:v>424.00000000000091</c:v>
                </c:pt>
                <c:pt idx="81">
                  <c:v>424.30000000000092</c:v>
                </c:pt>
                <c:pt idx="82">
                  <c:v>424.60000000000093</c:v>
                </c:pt>
                <c:pt idx="83">
                  <c:v>424.90000000000094</c:v>
                </c:pt>
                <c:pt idx="84">
                  <c:v>425.20000000000095</c:v>
                </c:pt>
                <c:pt idx="85">
                  <c:v>425.50000000000097</c:v>
                </c:pt>
                <c:pt idx="86">
                  <c:v>425.80000000000098</c:v>
                </c:pt>
                <c:pt idx="87">
                  <c:v>426.10000000000099</c:v>
                </c:pt>
                <c:pt idx="88">
                  <c:v>426.400000000001</c:v>
                </c:pt>
                <c:pt idx="89">
                  <c:v>426.70000000000101</c:v>
                </c:pt>
                <c:pt idx="90">
                  <c:v>427.00000000000102</c:v>
                </c:pt>
                <c:pt idx="91">
                  <c:v>427.30000000000103</c:v>
                </c:pt>
                <c:pt idx="92">
                  <c:v>427.60000000000105</c:v>
                </c:pt>
                <c:pt idx="93">
                  <c:v>427.90000000000106</c:v>
                </c:pt>
                <c:pt idx="94">
                  <c:v>428.20000000000107</c:v>
                </c:pt>
                <c:pt idx="95">
                  <c:v>428.50000000000108</c:v>
                </c:pt>
                <c:pt idx="96">
                  <c:v>428.80000000000109</c:v>
                </c:pt>
                <c:pt idx="97">
                  <c:v>429.1000000000011</c:v>
                </c:pt>
                <c:pt idx="98">
                  <c:v>429.40000000000111</c:v>
                </c:pt>
                <c:pt idx="99">
                  <c:v>429.70000000000113</c:v>
                </c:pt>
                <c:pt idx="100">
                  <c:v>430.00000000000114</c:v>
                </c:pt>
              </c:numCache>
            </c:numRef>
          </c:cat>
          <c:val>
            <c:numRef>
              <c:f>donnees!$C$16:$C$116</c:f>
              <c:numCache>
                <c:formatCode>General</c:formatCode>
                <c:ptCount val="101"/>
                <c:pt idx="0">
                  <c:v>19000</c:v>
                </c:pt>
                <c:pt idx="1">
                  <c:v>18699.999999999989</c:v>
                </c:pt>
                <c:pt idx="2">
                  <c:v>18399.999999999978</c:v>
                </c:pt>
                <c:pt idx="3">
                  <c:v>18099.999999999967</c:v>
                </c:pt>
                <c:pt idx="4">
                  <c:v>17799.999999999956</c:v>
                </c:pt>
                <c:pt idx="5">
                  <c:v>17499.999999999942</c:v>
                </c:pt>
                <c:pt idx="6">
                  <c:v>17199.999999999931</c:v>
                </c:pt>
                <c:pt idx="7">
                  <c:v>16899.99999999992</c:v>
                </c:pt>
                <c:pt idx="8">
                  <c:v>16599.999999999909</c:v>
                </c:pt>
                <c:pt idx="9">
                  <c:v>16299.999999999898</c:v>
                </c:pt>
                <c:pt idx="10">
                  <c:v>15999.999999999887</c:v>
                </c:pt>
                <c:pt idx="11">
                  <c:v>15699.999999999874</c:v>
                </c:pt>
                <c:pt idx="12">
                  <c:v>15399.999999999864</c:v>
                </c:pt>
                <c:pt idx="13">
                  <c:v>15099.999999999853</c:v>
                </c:pt>
                <c:pt idx="14">
                  <c:v>14799.99999999984</c:v>
                </c:pt>
                <c:pt idx="15">
                  <c:v>14499.999999999829</c:v>
                </c:pt>
                <c:pt idx="16">
                  <c:v>14199.999999999818</c:v>
                </c:pt>
                <c:pt idx="17">
                  <c:v>13899.999999999807</c:v>
                </c:pt>
                <c:pt idx="18">
                  <c:v>13599.999999999796</c:v>
                </c:pt>
                <c:pt idx="19">
                  <c:v>13299.999999999784</c:v>
                </c:pt>
                <c:pt idx="20">
                  <c:v>12999.999999999773</c:v>
                </c:pt>
                <c:pt idx="21">
                  <c:v>12699.999999999762</c:v>
                </c:pt>
                <c:pt idx="22">
                  <c:v>12399.999999999749</c:v>
                </c:pt>
                <c:pt idx="23">
                  <c:v>12099.999999999738</c:v>
                </c:pt>
                <c:pt idx="24">
                  <c:v>11799.999999999727</c:v>
                </c:pt>
                <c:pt idx="25">
                  <c:v>11499.999999999716</c:v>
                </c:pt>
                <c:pt idx="26">
                  <c:v>11199.999999999705</c:v>
                </c:pt>
                <c:pt idx="27">
                  <c:v>10899.999999999693</c:v>
                </c:pt>
                <c:pt idx="28">
                  <c:v>10599.999999999682</c:v>
                </c:pt>
                <c:pt idx="29">
                  <c:v>10299.999999999671</c:v>
                </c:pt>
                <c:pt idx="30">
                  <c:v>9999.999999999658</c:v>
                </c:pt>
                <c:pt idx="31">
                  <c:v>9699.9999999996471</c:v>
                </c:pt>
                <c:pt idx="32">
                  <c:v>9399.9999999996362</c:v>
                </c:pt>
                <c:pt idx="33">
                  <c:v>9099.9999999996253</c:v>
                </c:pt>
                <c:pt idx="34">
                  <c:v>8799.9999999996144</c:v>
                </c:pt>
                <c:pt idx="35">
                  <c:v>8499.9999999996016</c:v>
                </c:pt>
                <c:pt idx="36">
                  <c:v>8199.9999999995907</c:v>
                </c:pt>
                <c:pt idx="37">
                  <c:v>7899.9999999995798</c:v>
                </c:pt>
                <c:pt idx="38">
                  <c:v>7599.999999999568</c:v>
                </c:pt>
                <c:pt idx="39">
                  <c:v>7299.9999999995562</c:v>
                </c:pt>
                <c:pt idx="40">
                  <c:v>6999.9999999995453</c:v>
                </c:pt>
                <c:pt idx="41">
                  <c:v>6699.9999999995343</c:v>
                </c:pt>
                <c:pt idx="42">
                  <c:v>6399.9999999995225</c:v>
                </c:pt>
                <c:pt idx="43">
                  <c:v>6099.9999999995107</c:v>
                </c:pt>
                <c:pt idx="44">
                  <c:v>5799.9999999994998</c:v>
                </c:pt>
                <c:pt idx="45">
                  <c:v>5499.9999999994889</c:v>
                </c:pt>
                <c:pt idx="46">
                  <c:v>5199.999999999477</c:v>
                </c:pt>
                <c:pt idx="47">
                  <c:v>4899.9999999994652</c:v>
                </c:pt>
                <c:pt idx="48">
                  <c:v>4599.9999999994543</c:v>
                </c:pt>
                <c:pt idx="49">
                  <c:v>4299.9999999994434</c:v>
                </c:pt>
                <c:pt idx="50">
                  <c:v>3999.9999999994316</c:v>
                </c:pt>
                <c:pt idx="51">
                  <c:v>3699.9999999994202</c:v>
                </c:pt>
                <c:pt idx="52">
                  <c:v>3399.9999999994088</c:v>
                </c:pt>
                <c:pt idx="53">
                  <c:v>3099.9999999993975</c:v>
                </c:pt>
                <c:pt idx="54">
                  <c:v>2799.9999999993861</c:v>
                </c:pt>
                <c:pt idx="55">
                  <c:v>2499.9999999993747</c:v>
                </c:pt>
                <c:pt idx="56">
                  <c:v>2199.9999999993634</c:v>
                </c:pt>
                <c:pt idx="57">
                  <c:v>1899.999999999352</c:v>
                </c:pt>
                <c:pt idx="58">
                  <c:v>1599.9999999993406</c:v>
                </c:pt>
                <c:pt idx="59">
                  <c:v>1299.9999999993292</c:v>
                </c:pt>
                <c:pt idx="60">
                  <c:v>999.99999999931788</c:v>
                </c:pt>
                <c:pt idx="61">
                  <c:v>699.99999999930651</c:v>
                </c:pt>
                <c:pt idx="62">
                  <c:v>399.99999999929514</c:v>
                </c:pt>
                <c:pt idx="63">
                  <c:v>99.999999999283773</c:v>
                </c:pt>
                <c:pt idx="64">
                  <c:v>-200.0000000007276</c:v>
                </c:pt>
                <c:pt idx="65">
                  <c:v>-500.00000000073896</c:v>
                </c:pt>
                <c:pt idx="66">
                  <c:v>-800.00000000075033</c:v>
                </c:pt>
                <c:pt idx="67">
                  <c:v>-1100.0000000007617</c:v>
                </c:pt>
                <c:pt idx="68">
                  <c:v>-1400.0000000007731</c:v>
                </c:pt>
                <c:pt idx="69">
                  <c:v>-1700.0000000007844</c:v>
                </c:pt>
                <c:pt idx="70">
                  <c:v>-2000.0000000007958</c:v>
                </c:pt>
                <c:pt idx="71">
                  <c:v>-2300.0000000008072</c:v>
                </c:pt>
                <c:pt idx="72">
                  <c:v>-2600.0000000008185</c:v>
                </c:pt>
                <c:pt idx="73">
                  <c:v>-2900.0000000008299</c:v>
                </c:pt>
                <c:pt idx="74">
                  <c:v>-3200.0000000008413</c:v>
                </c:pt>
                <c:pt idx="75">
                  <c:v>-3500.0000000008527</c:v>
                </c:pt>
                <c:pt idx="76">
                  <c:v>-3800.000000000864</c:v>
                </c:pt>
                <c:pt idx="77">
                  <c:v>-4100.0000000008749</c:v>
                </c:pt>
                <c:pt idx="78">
                  <c:v>-4400.0000000008868</c:v>
                </c:pt>
                <c:pt idx="79">
                  <c:v>-4700.0000000008986</c:v>
                </c:pt>
                <c:pt idx="80">
                  <c:v>-5000.0000000009095</c:v>
                </c:pt>
                <c:pt idx="81">
                  <c:v>-5300.0000000009204</c:v>
                </c:pt>
                <c:pt idx="82">
                  <c:v>-5600.0000000009322</c:v>
                </c:pt>
                <c:pt idx="83">
                  <c:v>-5900.0000000009441</c:v>
                </c:pt>
                <c:pt idx="84">
                  <c:v>-6200.000000000955</c:v>
                </c:pt>
                <c:pt idx="85">
                  <c:v>-6500.0000000009659</c:v>
                </c:pt>
                <c:pt idx="86">
                  <c:v>-6800.0000000009777</c:v>
                </c:pt>
                <c:pt idx="87">
                  <c:v>-7100.0000000009895</c:v>
                </c:pt>
                <c:pt idx="88">
                  <c:v>-7400.0000000010004</c:v>
                </c:pt>
                <c:pt idx="89">
                  <c:v>-7700.0000000010114</c:v>
                </c:pt>
                <c:pt idx="90">
                  <c:v>-8000.0000000010232</c:v>
                </c:pt>
                <c:pt idx="91">
                  <c:v>-8300.000000001035</c:v>
                </c:pt>
                <c:pt idx="92">
                  <c:v>-8600.0000000010459</c:v>
                </c:pt>
                <c:pt idx="93">
                  <c:v>-8900.0000000010568</c:v>
                </c:pt>
                <c:pt idx="94">
                  <c:v>-9000</c:v>
                </c:pt>
                <c:pt idx="95">
                  <c:v>-9000</c:v>
                </c:pt>
                <c:pt idx="96">
                  <c:v>-9000</c:v>
                </c:pt>
                <c:pt idx="97">
                  <c:v>-9000</c:v>
                </c:pt>
                <c:pt idx="98">
                  <c:v>-9000</c:v>
                </c:pt>
                <c:pt idx="99">
                  <c:v>-9000</c:v>
                </c:pt>
                <c:pt idx="100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FC-4F74-A66B-49DCC8175697}"/>
            </c:ext>
          </c:extLst>
        </c:ser>
        <c:ser>
          <c:idx val="1"/>
          <c:order val="1"/>
          <c:tx>
            <c:strRef>
              <c:f>donnees!$D$15</c:f>
              <c:strCache>
                <c:ptCount val="1"/>
                <c:pt idx="0">
                  <c:v>P&amp;L action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donnees!$B$16:$B$116</c:f>
              <c:numCache>
                <c:formatCode>General</c:formatCode>
                <c:ptCount val="101"/>
                <c:pt idx="0">
                  <c:v>400</c:v>
                </c:pt>
                <c:pt idx="1">
                  <c:v>400.3</c:v>
                </c:pt>
                <c:pt idx="2">
                  <c:v>400.6</c:v>
                </c:pt>
                <c:pt idx="3">
                  <c:v>400.90000000000003</c:v>
                </c:pt>
                <c:pt idx="4">
                  <c:v>401.20000000000005</c:v>
                </c:pt>
                <c:pt idx="5">
                  <c:v>401.50000000000006</c:v>
                </c:pt>
                <c:pt idx="6">
                  <c:v>401.80000000000007</c:v>
                </c:pt>
                <c:pt idx="7">
                  <c:v>402.10000000000008</c:v>
                </c:pt>
                <c:pt idx="8">
                  <c:v>402.40000000000009</c:v>
                </c:pt>
                <c:pt idx="9">
                  <c:v>402.7000000000001</c:v>
                </c:pt>
                <c:pt idx="10">
                  <c:v>403.00000000000011</c:v>
                </c:pt>
                <c:pt idx="11">
                  <c:v>403.30000000000013</c:v>
                </c:pt>
                <c:pt idx="12">
                  <c:v>403.60000000000014</c:v>
                </c:pt>
                <c:pt idx="13">
                  <c:v>403.90000000000015</c:v>
                </c:pt>
                <c:pt idx="14">
                  <c:v>404.20000000000016</c:v>
                </c:pt>
                <c:pt idx="15">
                  <c:v>404.50000000000017</c:v>
                </c:pt>
                <c:pt idx="16">
                  <c:v>404.80000000000018</c:v>
                </c:pt>
                <c:pt idx="17">
                  <c:v>405.10000000000019</c:v>
                </c:pt>
                <c:pt idx="18">
                  <c:v>405.4000000000002</c:v>
                </c:pt>
                <c:pt idx="19">
                  <c:v>405.70000000000022</c:v>
                </c:pt>
                <c:pt idx="20">
                  <c:v>406.00000000000023</c:v>
                </c:pt>
                <c:pt idx="21">
                  <c:v>406.30000000000024</c:v>
                </c:pt>
                <c:pt idx="22">
                  <c:v>406.60000000000025</c:v>
                </c:pt>
                <c:pt idx="23">
                  <c:v>406.90000000000026</c:v>
                </c:pt>
                <c:pt idx="24">
                  <c:v>407.20000000000027</c:v>
                </c:pt>
                <c:pt idx="25">
                  <c:v>407.50000000000028</c:v>
                </c:pt>
                <c:pt idx="26">
                  <c:v>407.8000000000003</c:v>
                </c:pt>
                <c:pt idx="27">
                  <c:v>408.10000000000031</c:v>
                </c:pt>
                <c:pt idx="28">
                  <c:v>408.40000000000032</c:v>
                </c:pt>
                <c:pt idx="29">
                  <c:v>408.70000000000033</c:v>
                </c:pt>
                <c:pt idx="30">
                  <c:v>409.00000000000034</c:v>
                </c:pt>
                <c:pt idx="31">
                  <c:v>409.30000000000035</c:v>
                </c:pt>
                <c:pt idx="32">
                  <c:v>409.60000000000036</c:v>
                </c:pt>
                <c:pt idx="33">
                  <c:v>409.90000000000038</c:v>
                </c:pt>
                <c:pt idx="34">
                  <c:v>410.20000000000039</c:v>
                </c:pt>
                <c:pt idx="35">
                  <c:v>410.5000000000004</c:v>
                </c:pt>
                <c:pt idx="36">
                  <c:v>410.80000000000041</c:v>
                </c:pt>
                <c:pt idx="37">
                  <c:v>411.10000000000042</c:v>
                </c:pt>
                <c:pt idx="38">
                  <c:v>411.40000000000043</c:v>
                </c:pt>
                <c:pt idx="39">
                  <c:v>411.70000000000044</c:v>
                </c:pt>
                <c:pt idx="40">
                  <c:v>412.00000000000045</c:v>
                </c:pt>
                <c:pt idx="41">
                  <c:v>412.30000000000047</c:v>
                </c:pt>
                <c:pt idx="42">
                  <c:v>412.60000000000048</c:v>
                </c:pt>
                <c:pt idx="43">
                  <c:v>412.90000000000049</c:v>
                </c:pt>
                <c:pt idx="44">
                  <c:v>413.2000000000005</c:v>
                </c:pt>
                <c:pt idx="45">
                  <c:v>413.50000000000051</c:v>
                </c:pt>
                <c:pt idx="46">
                  <c:v>413.80000000000052</c:v>
                </c:pt>
                <c:pt idx="47">
                  <c:v>414.10000000000053</c:v>
                </c:pt>
                <c:pt idx="48">
                  <c:v>414.40000000000055</c:v>
                </c:pt>
                <c:pt idx="49">
                  <c:v>414.70000000000056</c:v>
                </c:pt>
                <c:pt idx="50">
                  <c:v>415.00000000000057</c:v>
                </c:pt>
                <c:pt idx="51">
                  <c:v>415.30000000000058</c:v>
                </c:pt>
                <c:pt idx="52">
                  <c:v>415.60000000000059</c:v>
                </c:pt>
                <c:pt idx="53">
                  <c:v>415.9000000000006</c:v>
                </c:pt>
                <c:pt idx="54">
                  <c:v>416.20000000000061</c:v>
                </c:pt>
                <c:pt idx="55">
                  <c:v>416.50000000000063</c:v>
                </c:pt>
                <c:pt idx="56">
                  <c:v>416.80000000000064</c:v>
                </c:pt>
                <c:pt idx="57">
                  <c:v>417.10000000000065</c:v>
                </c:pt>
                <c:pt idx="58">
                  <c:v>417.40000000000066</c:v>
                </c:pt>
                <c:pt idx="59">
                  <c:v>417.70000000000067</c:v>
                </c:pt>
                <c:pt idx="60">
                  <c:v>418.00000000000068</c:v>
                </c:pt>
                <c:pt idx="61">
                  <c:v>418.30000000000069</c:v>
                </c:pt>
                <c:pt idx="62">
                  <c:v>418.6000000000007</c:v>
                </c:pt>
                <c:pt idx="63">
                  <c:v>418.90000000000072</c:v>
                </c:pt>
                <c:pt idx="64">
                  <c:v>419.20000000000073</c:v>
                </c:pt>
                <c:pt idx="65">
                  <c:v>419.50000000000074</c:v>
                </c:pt>
                <c:pt idx="66">
                  <c:v>419.80000000000075</c:v>
                </c:pt>
                <c:pt idx="67">
                  <c:v>420.10000000000076</c:v>
                </c:pt>
                <c:pt idx="68">
                  <c:v>420.40000000000077</c:v>
                </c:pt>
                <c:pt idx="69">
                  <c:v>420.70000000000078</c:v>
                </c:pt>
                <c:pt idx="70">
                  <c:v>421.0000000000008</c:v>
                </c:pt>
                <c:pt idx="71">
                  <c:v>421.30000000000081</c:v>
                </c:pt>
                <c:pt idx="72">
                  <c:v>421.60000000000082</c:v>
                </c:pt>
                <c:pt idx="73">
                  <c:v>421.90000000000083</c:v>
                </c:pt>
                <c:pt idx="74">
                  <c:v>422.20000000000084</c:v>
                </c:pt>
                <c:pt idx="75">
                  <c:v>422.50000000000085</c:v>
                </c:pt>
                <c:pt idx="76">
                  <c:v>422.80000000000086</c:v>
                </c:pt>
                <c:pt idx="77">
                  <c:v>423.10000000000088</c:v>
                </c:pt>
                <c:pt idx="78">
                  <c:v>423.40000000000089</c:v>
                </c:pt>
                <c:pt idx="79">
                  <c:v>423.7000000000009</c:v>
                </c:pt>
                <c:pt idx="80">
                  <c:v>424.00000000000091</c:v>
                </c:pt>
                <c:pt idx="81">
                  <c:v>424.30000000000092</c:v>
                </c:pt>
                <c:pt idx="82">
                  <c:v>424.60000000000093</c:v>
                </c:pt>
                <c:pt idx="83">
                  <c:v>424.90000000000094</c:v>
                </c:pt>
                <c:pt idx="84">
                  <c:v>425.20000000000095</c:v>
                </c:pt>
                <c:pt idx="85">
                  <c:v>425.50000000000097</c:v>
                </c:pt>
                <c:pt idx="86">
                  <c:v>425.80000000000098</c:v>
                </c:pt>
                <c:pt idx="87">
                  <c:v>426.10000000000099</c:v>
                </c:pt>
                <c:pt idx="88">
                  <c:v>426.400000000001</c:v>
                </c:pt>
                <c:pt idx="89">
                  <c:v>426.70000000000101</c:v>
                </c:pt>
                <c:pt idx="90">
                  <c:v>427.00000000000102</c:v>
                </c:pt>
                <c:pt idx="91">
                  <c:v>427.30000000000103</c:v>
                </c:pt>
                <c:pt idx="92">
                  <c:v>427.60000000000105</c:v>
                </c:pt>
                <c:pt idx="93">
                  <c:v>427.90000000000106</c:v>
                </c:pt>
                <c:pt idx="94">
                  <c:v>428.20000000000107</c:v>
                </c:pt>
                <c:pt idx="95">
                  <c:v>428.50000000000108</c:v>
                </c:pt>
                <c:pt idx="96">
                  <c:v>428.80000000000109</c:v>
                </c:pt>
                <c:pt idx="97">
                  <c:v>429.1000000000011</c:v>
                </c:pt>
                <c:pt idx="98">
                  <c:v>429.40000000000111</c:v>
                </c:pt>
                <c:pt idx="99">
                  <c:v>429.70000000000113</c:v>
                </c:pt>
                <c:pt idx="100">
                  <c:v>430.00000000000114</c:v>
                </c:pt>
              </c:numCache>
            </c:numRef>
          </c:cat>
          <c:val>
            <c:numRef>
              <c:f>donnees!$D$16:$D$116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FC-4F74-A66B-49DCC8175697}"/>
            </c:ext>
          </c:extLst>
        </c:ser>
        <c:ser>
          <c:idx val="2"/>
          <c:order val="2"/>
          <c:tx>
            <c:strRef>
              <c:f>donnees!$E$15</c:f>
              <c:strCache>
                <c:ptCount val="1"/>
                <c:pt idx="0">
                  <c:v>P&amp;L Leg 1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donnees!$B$16:$B$116</c:f>
              <c:numCache>
                <c:formatCode>General</c:formatCode>
                <c:ptCount val="101"/>
                <c:pt idx="0">
                  <c:v>400</c:v>
                </c:pt>
                <c:pt idx="1">
                  <c:v>400.3</c:v>
                </c:pt>
                <c:pt idx="2">
                  <c:v>400.6</c:v>
                </c:pt>
                <c:pt idx="3">
                  <c:v>400.90000000000003</c:v>
                </c:pt>
                <c:pt idx="4">
                  <c:v>401.20000000000005</c:v>
                </c:pt>
                <c:pt idx="5">
                  <c:v>401.50000000000006</c:v>
                </c:pt>
                <c:pt idx="6">
                  <c:v>401.80000000000007</c:v>
                </c:pt>
                <c:pt idx="7">
                  <c:v>402.10000000000008</c:v>
                </c:pt>
                <c:pt idx="8">
                  <c:v>402.40000000000009</c:v>
                </c:pt>
                <c:pt idx="9">
                  <c:v>402.7000000000001</c:v>
                </c:pt>
                <c:pt idx="10">
                  <c:v>403.00000000000011</c:v>
                </c:pt>
                <c:pt idx="11">
                  <c:v>403.30000000000013</c:v>
                </c:pt>
                <c:pt idx="12">
                  <c:v>403.60000000000014</c:v>
                </c:pt>
                <c:pt idx="13">
                  <c:v>403.90000000000015</c:v>
                </c:pt>
                <c:pt idx="14">
                  <c:v>404.20000000000016</c:v>
                </c:pt>
                <c:pt idx="15">
                  <c:v>404.50000000000017</c:v>
                </c:pt>
                <c:pt idx="16">
                  <c:v>404.80000000000018</c:v>
                </c:pt>
                <c:pt idx="17">
                  <c:v>405.10000000000019</c:v>
                </c:pt>
                <c:pt idx="18">
                  <c:v>405.4000000000002</c:v>
                </c:pt>
                <c:pt idx="19">
                  <c:v>405.70000000000022</c:v>
                </c:pt>
                <c:pt idx="20">
                  <c:v>406.00000000000023</c:v>
                </c:pt>
                <c:pt idx="21">
                  <c:v>406.30000000000024</c:v>
                </c:pt>
                <c:pt idx="22">
                  <c:v>406.60000000000025</c:v>
                </c:pt>
                <c:pt idx="23">
                  <c:v>406.90000000000026</c:v>
                </c:pt>
                <c:pt idx="24">
                  <c:v>407.20000000000027</c:v>
                </c:pt>
                <c:pt idx="25">
                  <c:v>407.50000000000028</c:v>
                </c:pt>
                <c:pt idx="26">
                  <c:v>407.8000000000003</c:v>
                </c:pt>
                <c:pt idx="27">
                  <c:v>408.10000000000031</c:v>
                </c:pt>
                <c:pt idx="28">
                  <c:v>408.40000000000032</c:v>
                </c:pt>
                <c:pt idx="29">
                  <c:v>408.70000000000033</c:v>
                </c:pt>
                <c:pt idx="30">
                  <c:v>409.00000000000034</c:v>
                </c:pt>
                <c:pt idx="31">
                  <c:v>409.30000000000035</c:v>
                </c:pt>
                <c:pt idx="32">
                  <c:v>409.60000000000036</c:v>
                </c:pt>
                <c:pt idx="33">
                  <c:v>409.90000000000038</c:v>
                </c:pt>
                <c:pt idx="34">
                  <c:v>410.20000000000039</c:v>
                </c:pt>
                <c:pt idx="35">
                  <c:v>410.5000000000004</c:v>
                </c:pt>
                <c:pt idx="36">
                  <c:v>410.80000000000041</c:v>
                </c:pt>
                <c:pt idx="37">
                  <c:v>411.10000000000042</c:v>
                </c:pt>
                <c:pt idx="38">
                  <c:v>411.40000000000043</c:v>
                </c:pt>
                <c:pt idx="39">
                  <c:v>411.70000000000044</c:v>
                </c:pt>
                <c:pt idx="40">
                  <c:v>412.00000000000045</c:v>
                </c:pt>
                <c:pt idx="41">
                  <c:v>412.30000000000047</c:v>
                </c:pt>
                <c:pt idx="42">
                  <c:v>412.60000000000048</c:v>
                </c:pt>
                <c:pt idx="43">
                  <c:v>412.90000000000049</c:v>
                </c:pt>
                <c:pt idx="44">
                  <c:v>413.2000000000005</c:v>
                </c:pt>
                <c:pt idx="45">
                  <c:v>413.50000000000051</c:v>
                </c:pt>
                <c:pt idx="46">
                  <c:v>413.80000000000052</c:v>
                </c:pt>
                <c:pt idx="47">
                  <c:v>414.10000000000053</c:v>
                </c:pt>
                <c:pt idx="48">
                  <c:v>414.40000000000055</c:v>
                </c:pt>
                <c:pt idx="49">
                  <c:v>414.70000000000056</c:v>
                </c:pt>
                <c:pt idx="50">
                  <c:v>415.00000000000057</c:v>
                </c:pt>
                <c:pt idx="51">
                  <c:v>415.30000000000058</c:v>
                </c:pt>
                <c:pt idx="52">
                  <c:v>415.60000000000059</c:v>
                </c:pt>
                <c:pt idx="53">
                  <c:v>415.9000000000006</c:v>
                </c:pt>
                <c:pt idx="54">
                  <c:v>416.20000000000061</c:v>
                </c:pt>
                <c:pt idx="55">
                  <c:v>416.50000000000063</c:v>
                </c:pt>
                <c:pt idx="56">
                  <c:v>416.80000000000064</c:v>
                </c:pt>
                <c:pt idx="57">
                  <c:v>417.10000000000065</c:v>
                </c:pt>
                <c:pt idx="58">
                  <c:v>417.40000000000066</c:v>
                </c:pt>
                <c:pt idx="59">
                  <c:v>417.70000000000067</c:v>
                </c:pt>
                <c:pt idx="60">
                  <c:v>418.00000000000068</c:v>
                </c:pt>
                <c:pt idx="61">
                  <c:v>418.30000000000069</c:v>
                </c:pt>
                <c:pt idx="62">
                  <c:v>418.6000000000007</c:v>
                </c:pt>
                <c:pt idx="63">
                  <c:v>418.90000000000072</c:v>
                </c:pt>
                <c:pt idx="64">
                  <c:v>419.20000000000073</c:v>
                </c:pt>
                <c:pt idx="65">
                  <c:v>419.50000000000074</c:v>
                </c:pt>
                <c:pt idx="66">
                  <c:v>419.80000000000075</c:v>
                </c:pt>
                <c:pt idx="67">
                  <c:v>420.10000000000076</c:v>
                </c:pt>
                <c:pt idx="68">
                  <c:v>420.40000000000077</c:v>
                </c:pt>
                <c:pt idx="69">
                  <c:v>420.70000000000078</c:v>
                </c:pt>
                <c:pt idx="70">
                  <c:v>421.0000000000008</c:v>
                </c:pt>
                <c:pt idx="71">
                  <c:v>421.30000000000081</c:v>
                </c:pt>
                <c:pt idx="72">
                  <c:v>421.60000000000082</c:v>
                </c:pt>
                <c:pt idx="73">
                  <c:v>421.90000000000083</c:v>
                </c:pt>
                <c:pt idx="74">
                  <c:v>422.20000000000084</c:v>
                </c:pt>
                <c:pt idx="75">
                  <c:v>422.50000000000085</c:v>
                </c:pt>
                <c:pt idx="76">
                  <c:v>422.80000000000086</c:v>
                </c:pt>
                <c:pt idx="77">
                  <c:v>423.10000000000088</c:v>
                </c:pt>
                <c:pt idx="78">
                  <c:v>423.40000000000089</c:v>
                </c:pt>
                <c:pt idx="79">
                  <c:v>423.7000000000009</c:v>
                </c:pt>
                <c:pt idx="80">
                  <c:v>424.00000000000091</c:v>
                </c:pt>
                <c:pt idx="81">
                  <c:v>424.30000000000092</c:v>
                </c:pt>
                <c:pt idx="82">
                  <c:v>424.60000000000093</c:v>
                </c:pt>
                <c:pt idx="83">
                  <c:v>424.90000000000094</c:v>
                </c:pt>
                <c:pt idx="84">
                  <c:v>425.20000000000095</c:v>
                </c:pt>
                <c:pt idx="85">
                  <c:v>425.50000000000097</c:v>
                </c:pt>
                <c:pt idx="86">
                  <c:v>425.80000000000098</c:v>
                </c:pt>
                <c:pt idx="87">
                  <c:v>426.10000000000099</c:v>
                </c:pt>
                <c:pt idx="88">
                  <c:v>426.400000000001</c:v>
                </c:pt>
                <c:pt idx="89">
                  <c:v>426.70000000000101</c:v>
                </c:pt>
                <c:pt idx="90">
                  <c:v>427.00000000000102</c:v>
                </c:pt>
                <c:pt idx="91">
                  <c:v>427.30000000000103</c:v>
                </c:pt>
                <c:pt idx="92">
                  <c:v>427.60000000000105</c:v>
                </c:pt>
                <c:pt idx="93">
                  <c:v>427.90000000000106</c:v>
                </c:pt>
                <c:pt idx="94">
                  <c:v>428.20000000000107</c:v>
                </c:pt>
                <c:pt idx="95">
                  <c:v>428.50000000000108</c:v>
                </c:pt>
                <c:pt idx="96">
                  <c:v>428.80000000000109</c:v>
                </c:pt>
                <c:pt idx="97">
                  <c:v>429.1000000000011</c:v>
                </c:pt>
                <c:pt idx="98">
                  <c:v>429.40000000000111</c:v>
                </c:pt>
                <c:pt idx="99">
                  <c:v>429.70000000000113</c:v>
                </c:pt>
                <c:pt idx="100">
                  <c:v>430.00000000000114</c:v>
                </c:pt>
              </c:numCache>
            </c:numRef>
          </c:cat>
          <c:val>
            <c:numRef>
              <c:f>donnees!$E$16:$E$116</c:f>
              <c:numCache>
                <c:formatCode>General</c:formatCode>
                <c:ptCount val="101"/>
                <c:pt idx="0">
                  <c:v>19000</c:v>
                </c:pt>
                <c:pt idx="1">
                  <c:v>18699.999999999989</c:v>
                </c:pt>
                <c:pt idx="2">
                  <c:v>18399.999999999978</c:v>
                </c:pt>
                <c:pt idx="3">
                  <c:v>18099.999999999967</c:v>
                </c:pt>
                <c:pt idx="4">
                  <c:v>17799.999999999956</c:v>
                </c:pt>
                <c:pt idx="5">
                  <c:v>17499.999999999942</c:v>
                </c:pt>
                <c:pt idx="6">
                  <c:v>17199.999999999931</c:v>
                </c:pt>
                <c:pt idx="7">
                  <c:v>16899.99999999992</c:v>
                </c:pt>
                <c:pt idx="8">
                  <c:v>16599.999999999909</c:v>
                </c:pt>
                <c:pt idx="9">
                  <c:v>16299.999999999898</c:v>
                </c:pt>
                <c:pt idx="10">
                  <c:v>15999.999999999887</c:v>
                </c:pt>
                <c:pt idx="11">
                  <c:v>15699.999999999874</c:v>
                </c:pt>
                <c:pt idx="12">
                  <c:v>15399.999999999864</c:v>
                </c:pt>
                <c:pt idx="13">
                  <c:v>15099.999999999853</c:v>
                </c:pt>
                <c:pt idx="14">
                  <c:v>14799.99999999984</c:v>
                </c:pt>
                <c:pt idx="15">
                  <c:v>14499.999999999829</c:v>
                </c:pt>
                <c:pt idx="16">
                  <c:v>14199.999999999818</c:v>
                </c:pt>
                <c:pt idx="17">
                  <c:v>13899.999999999807</c:v>
                </c:pt>
                <c:pt idx="18">
                  <c:v>13599.999999999796</c:v>
                </c:pt>
                <c:pt idx="19">
                  <c:v>13299.999999999784</c:v>
                </c:pt>
                <c:pt idx="20">
                  <c:v>12999.999999999773</c:v>
                </c:pt>
                <c:pt idx="21">
                  <c:v>12699.999999999762</c:v>
                </c:pt>
                <c:pt idx="22">
                  <c:v>12399.999999999749</c:v>
                </c:pt>
                <c:pt idx="23">
                  <c:v>12099.999999999738</c:v>
                </c:pt>
                <c:pt idx="24">
                  <c:v>11799.999999999727</c:v>
                </c:pt>
                <c:pt idx="25">
                  <c:v>11499.999999999716</c:v>
                </c:pt>
                <c:pt idx="26">
                  <c:v>11199.999999999705</c:v>
                </c:pt>
                <c:pt idx="27">
                  <c:v>10899.999999999693</c:v>
                </c:pt>
                <c:pt idx="28">
                  <c:v>10599.999999999682</c:v>
                </c:pt>
                <c:pt idx="29">
                  <c:v>10299.999999999671</c:v>
                </c:pt>
                <c:pt idx="30">
                  <c:v>9999.999999999658</c:v>
                </c:pt>
                <c:pt idx="31">
                  <c:v>9699.9999999996471</c:v>
                </c:pt>
                <c:pt idx="32">
                  <c:v>9399.9999999996362</c:v>
                </c:pt>
                <c:pt idx="33">
                  <c:v>9099.9999999996253</c:v>
                </c:pt>
                <c:pt idx="34">
                  <c:v>8799.9999999996144</c:v>
                </c:pt>
                <c:pt idx="35">
                  <c:v>8499.9999999996016</c:v>
                </c:pt>
                <c:pt idx="36">
                  <c:v>8199.9999999995907</c:v>
                </c:pt>
                <c:pt idx="37">
                  <c:v>7899.9999999995798</c:v>
                </c:pt>
                <c:pt idx="38">
                  <c:v>7599.999999999568</c:v>
                </c:pt>
                <c:pt idx="39">
                  <c:v>7299.9999999995562</c:v>
                </c:pt>
                <c:pt idx="40">
                  <c:v>6999.9999999995453</c:v>
                </c:pt>
                <c:pt idx="41">
                  <c:v>6699.9999999995343</c:v>
                </c:pt>
                <c:pt idx="42">
                  <c:v>6399.9999999995225</c:v>
                </c:pt>
                <c:pt idx="43">
                  <c:v>6099.9999999995107</c:v>
                </c:pt>
                <c:pt idx="44">
                  <c:v>5799.9999999994998</c:v>
                </c:pt>
                <c:pt idx="45">
                  <c:v>5499.9999999994889</c:v>
                </c:pt>
                <c:pt idx="46">
                  <c:v>5199.999999999477</c:v>
                </c:pt>
                <c:pt idx="47">
                  <c:v>4899.9999999994652</c:v>
                </c:pt>
                <c:pt idx="48">
                  <c:v>4599.9999999994543</c:v>
                </c:pt>
                <c:pt idx="49">
                  <c:v>4299.9999999994434</c:v>
                </c:pt>
                <c:pt idx="50">
                  <c:v>3999.9999999994316</c:v>
                </c:pt>
                <c:pt idx="51">
                  <c:v>3699.9999999994202</c:v>
                </c:pt>
                <c:pt idx="52">
                  <c:v>3399.9999999994088</c:v>
                </c:pt>
                <c:pt idx="53">
                  <c:v>3099.9999999993975</c:v>
                </c:pt>
                <c:pt idx="54">
                  <c:v>2799.9999999993861</c:v>
                </c:pt>
                <c:pt idx="55">
                  <c:v>2499.9999999993747</c:v>
                </c:pt>
                <c:pt idx="56">
                  <c:v>2199.9999999993634</c:v>
                </c:pt>
                <c:pt idx="57">
                  <c:v>1899.999999999352</c:v>
                </c:pt>
                <c:pt idx="58">
                  <c:v>1599.9999999993406</c:v>
                </c:pt>
                <c:pt idx="59">
                  <c:v>1299.9999999993292</c:v>
                </c:pt>
                <c:pt idx="60">
                  <c:v>999.99999999931788</c:v>
                </c:pt>
                <c:pt idx="61">
                  <c:v>699.99999999930651</c:v>
                </c:pt>
                <c:pt idx="62">
                  <c:v>399.99999999929514</c:v>
                </c:pt>
                <c:pt idx="63">
                  <c:v>99.999999999283773</c:v>
                </c:pt>
                <c:pt idx="64">
                  <c:v>-200.0000000007276</c:v>
                </c:pt>
                <c:pt idx="65">
                  <c:v>-500.00000000073896</c:v>
                </c:pt>
                <c:pt idx="66">
                  <c:v>-800.00000000075033</c:v>
                </c:pt>
                <c:pt idx="67">
                  <c:v>-1100.0000000007617</c:v>
                </c:pt>
                <c:pt idx="68">
                  <c:v>-1400.0000000007731</c:v>
                </c:pt>
                <c:pt idx="69">
                  <c:v>-1700.0000000007844</c:v>
                </c:pt>
                <c:pt idx="70">
                  <c:v>-2000.0000000007958</c:v>
                </c:pt>
                <c:pt idx="71">
                  <c:v>-2300.0000000008072</c:v>
                </c:pt>
                <c:pt idx="72">
                  <c:v>-2600.0000000008185</c:v>
                </c:pt>
                <c:pt idx="73">
                  <c:v>-2900.0000000008299</c:v>
                </c:pt>
                <c:pt idx="74">
                  <c:v>-3200.0000000008413</c:v>
                </c:pt>
                <c:pt idx="75">
                  <c:v>-3500.0000000008527</c:v>
                </c:pt>
                <c:pt idx="76">
                  <c:v>-3800.000000000864</c:v>
                </c:pt>
                <c:pt idx="77">
                  <c:v>-4100.0000000008749</c:v>
                </c:pt>
                <c:pt idx="78">
                  <c:v>-4400.0000000008868</c:v>
                </c:pt>
                <c:pt idx="79">
                  <c:v>-4700.0000000008986</c:v>
                </c:pt>
                <c:pt idx="80">
                  <c:v>-5000.0000000009095</c:v>
                </c:pt>
                <c:pt idx="81">
                  <c:v>-5300.0000000009204</c:v>
                </c:pt>
                <c:pt idx="82">
                  <c:v>-5600.0000000009322</c:v>
                </c:pt>
                <c:pt idx="83">
                  <c:v>-5900.0000000009441</c:v>
                </c:pt>
                <c:pt idx="84">
                  <c:v>-6200.000000000955</c:v>
                </c:pt>
                <c:pt idx="85">
                  <c:v>-6500.0000000009659</c:v>
                </c:pt>
                <c:pt idx="86">
                  <c:v>-6800.0000000009777</c:v>
                </c:pt>
                <c:pt idx="87">
                  <c:v>-7100.0000000009895</c:v>
                </c:pt>
                <c:pt idx="88">
                  <c:v>-7400.0000000010004</c:v>
                </c:pt>
                <c:pt idx="89">
                  <c:v>-7700.0000000010114</c:v>
                </c:pt>
                <c:pt idx="90">
                  <c:v>-8000.0000000010232</c:v>
                </c:pt>
                <c:pt idx="91">
                  <c:v>-8300.000000001035</c:v>
                </c:pt>
                <c:pt idx="92">
                  <c:v>-8600.0000000010459</c:v>
                </c:pt>
                <c:pt idx="93">
                  <c:v>-8900.0000000010568</c:v>
                </c:pt>
                <c:pt idx="94">
                  <c:v>-9000</c:v>
                </c:pt>
                <c:pt idx="95">
                  <c:v>-9000</c:v>
                </c:pt>
                <c:pt idx="96">
                  <c:v>-9000</c:v>
                </c:pt>
                <c:pt idx="97">
                  <c:v>-9000</c:v>
                </c:pt>
                <c:pt idx="98">
                  <c:v>-9000</c:v>
                </c:pt>
                <c:pt idx="99">
                  <c:v>-9000</c:v>
                </c:pt>
                <c:pt idx="100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FC-4F74-A66B-49DCC8175697}"/>
            </c:ext>
          </c:extLst>
        </c:ser>
        <c:ser>
          <c:idx val="3"/>
          <c:order val="3"/>
          <c:tx>
            <c:strRef>
              <c:f>donnees!$F$15</c:f>
              <c:strCache>
                <c:ptCount val="1"/>
                <c:pt idx="0">
                  <c:v>P&amp;L Leg 2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donnees!$B$16:$B$116</c:f>
              <c:numCache>
                <c:formatCode>General</c:formatCode>
                <c:ptCount val="101"/>
                <c:pt idx="0">
                  <c:v>400</c:v>
                </c:pt>
                <c:pt idx="1">
                  <c:v>400.3</c:v>
                </c:pt>
                <c:pt idx="2">
                  <c:v>400.6</c:v>
                </c:pt>
                <c:pt idx="3">
                  <c:v>400.90000000000003</c:v>
                </c:pt>
                <c:pt idx="4">
                  <c:v>401.20000000000005</c:v>
                </c:pt>
                <c:pt idx="5">
                  <c:v>401.50000000000006</c:v>
                </c:pt>
                <c:pt idx="6">
                  <c:v>401.80000000000007</c:v>
                </c:pt>
                <c:pt idx="7">
                  <c:v>402.10000000000008</c:v>
                </c:pt>
                <c:pt idx="8">
                  <c:v>402.40000000000009</c:v>
                </c:pt>
                <c:pt idx="9">
                  <c:v>402.7000000000001</c:v>
                </c:pt>
                <c:pt idx="10">
                  <c:v>403.00000000000011</c:v>
                </c:pt>
                <c:pt idx="11">
                  <c:v>403.30000000000013</c:v>
                </c:pt>
                <c:pt idx="12">
                  <c:v>403.60000000000014</c:v>
                </c:pt>
                <c:pt idx="13">
                  <c:v>403.90000000000015</c:v>
                </c:pt>
                <c:pt idx="14">
                  <c:v>404.20000000000016</c:v>
                </c:pt>
                <c:pt idx="15">
                  <c:v>404.50000000000017</c:v>
                </c:pt>
                <c:pt idx="16">
                  <c:v>404.80000000000018</c:v>
                </c:pt>
                <c:pt idx="17">
                  <c:v>405.10000000000019</c:v>
                </c:pt>
                <c:pt idx="18">
                  <c:v>405.4000000000002</c:v>
                </c:pt>
                <c:pt idx="19">
                  <c:v>405.70000000000022</c:v>
                </c:pt>
                <c:pt idx="20">
                  <c:v>406.00000000000023</c:v>
                </c:pt>
                <c:pt idx="21">
                  <c:v>406.30000000000024</c:v>
                </c:pt>
                <c:pt idx="22">
                  <c:v>406.60000000000025</c:v>
                </c:pt>
                <c:pt idx="23">
                  <c:v>406.90000000000026</c:v>
                </c:pt>
                <c:pt idx="24">
                  <c:v>407.20000000000027</c:v>
                </c:pt>
                <c:pt idx="25">
                  <c:v>407.50000000000028</c:v>
                </c:pt>
                <c:pt idx="26">
                  <c:v>407.8000000000003</c:v>
                </c:pt>
                <c:pt idx="27">
                  <c:v>408.10000000000031</c:v>
                </c:pt>
                <c:pt idx="28">
                  <c:v>408.40000000000032</c:v>
                </c:pt>
                <c:pt idx="29">
                  <c:v>408.70000000000033</c:v>
                </c:pt>
                <c:pt idx="30">
                  <c:v>409.00000000000034</c:v>
                </c:pt>
                <c:pt idx="31">
                  <c:v>409.30000000000035</c:v>
                </c:pt>
                <c:pt idx="32">
                  <c:v>409.60000000000036</c:v>
                </c:pt>
                <c:pt idx="33">
                  <c:v>409.90000000000038</c:v>
                </c:pt>
                <c:pt idx="34">
                  <c:v>410.20000000000039</c:v>
                </c:pt>
                <c:pt idx="35">
                  <c:v>410.5000000000004</c:v>
                </c:pt>
                <c:pt idx="36">
                  <c:v>410.80000000000041</c:v>
                </c:pt>
                <c:pt idx="37">
                  <c:v>411.10000000000042</c:v>
                </c:pt>
                <c:pt idx="38">
                  <c:v>411.40000000000043</c:v>
                </c:pt>
                <c:pt idx="39">
                  <c:v>411.70000000000044</c:v>
                </c:pt>
                <c:pt idx="40">
                  <c:v>412.00000000000045</c:v>
                </c:pt>
                <c:pt idx="41">
                  <c:v>412.30000000000047</c:v>
                </c:pt>
                <c:pt idx="42">
                  <c:v>412.60000000000048</c:v>
                </c:pt>
                <c:pt idx="43">
                  <c:v>412.90000000000049</c:v>
                </c:pt>
                <c:pt idx="44">
                  <c:v>413.2000000000005</c:v>
                </c:pt>
                <c:pt idx="45">
                  <c:v>413.50000000000051</c:v>
                </c:pt>
                <c:pt idx="46">
                  <c:v>413.80000000000052</c:v>
                </c:pt>
                <c:pt idx="47">
                  <c:v>414.10000000000053</c:v>
                </c:pt>
                <c:pt idx="48">
                  <c:v>414.40000000000055</c:v>
                </c:pt>
                <c:pt idx="49">
                  <c:v>414.70000000000056</c:v>
                </c:pt>
                <c:pt idx="50">
                  <c:v>415.00000000000057</c:v>
                </c:pt>
                <c:pt idx="51">
                  <c:v>415.30000000000058</c:v>
                </c:pt>
                <c:pt idx="52">
                  <c:v>415.60000000000059</c:v>
                </c:pt>
                <c:pt idx="53">
                  <c:v>415.9000000000006</c:v>
                </c:pt>
                <c:pt idx="54">
                  <c:v>416.20000000000061</c:v>
                </c:pt>
                <c:pt idx="55">
                  <c:v>416.50000000000063</c:v>
                </c:pt>
                <c:pt idx="56">
                  <c:v>416.80000000000064</c:v>
                </c:pt>
                <c:pt idx="57">
                  <c:v>417.10000000000065</c:v>
                </c:pt>
                <c:pt idx="58">
                  <c:v>417.40000000000066</c:v>
                </c:pt>
                <c:pt idx="59">
                  <c:v>417.70000000000067</c:v>
                </c:pt>
                <c:pt idx="60">
                  <c:v>418.00000000000068</c:v>
                </c:pt>
                <c:pt idx="61">
                  <c:v>418.30000000000069</c:v>
                </c:pt>
                <c:pt idx="62">
                  <c:v>418.6000000000007</c:v>
                </c:pt>
                <c:pt idx="63">
                  <c:v>418.90000000000072</c:v>
                </c:pt>
                <c:pt idx="64">
                  <c:v>419.20000000000073</c:v>
                </c:pt>
                <c:pt idx="65">
                  <c:v>419.50000000000074</c:v>
                </c:pt>
                <c:pt idx="66">
                  <c:v>419.80000000000075</c:v>
                </c:pt>
                <c:pt idx="67">
                  <c:v>420.10000000000076</c:v>
                </c:pt>
                <c:pt idx="68">
                  <c:v>420.40000000000077</c:v>
                </c:pt>
                <c:pt idx="69">
                  <c:v>420.70000000000078</c:v>
                </c:pt>
                <c:pt idx="70">
                  <c:v>421.0000000000008</c:v>
                </c:pt>
                <c:pt idx="71">
                  <c:v>421.30000000000081</c:v>
                </c:pt>
                <c:pt idx="72">
                  <c:v>421.60000000000082</c:v>
                </c:pt>
                <c:pt idx="73">
                  <c:v>421.90000000000083</c:v>
                </c:pt>
                <c:pt idx="74">
                  <c:v>422.20000000000084</c:v>
                </c:pt>
                <c:pt idx="75">
                  <c:v>422.50000000000085</c:v>
                </c:pt>
                <c:pt idx="76">
                  <c:v>422.80000000000086</c:v>
                </c:pt>
                <c:pt idx="77">
                  <c:v>423.10000000000088</c:v>
                </c:pt>
                <c:pt idx="78">
                  <c:v>423.40000000000089</c:v>
                </c:pt>
                <c:pt idx="79">
                  <c:v>423.7000000000009</c:v>
                </c:pt>
                <c:pt idx="80">
                  <c:v>424.00000000000091</c:v>
                </c:pt>
                <c:pt idx="81">
                  <c:v>424.30000000000092</c:v>
                </c:pt>
                <c:pt idx="82">
                  <c:v>424.60000000000093</c:v>
                </c:pt>
                <c:pt idx="83">
                  <c:v>424.90000000000094</c:v>
                </c:pt>
                <c:pt idx="84">
                  <c:v>425.20000000000095</c:v>
                </c:pt>
                <c:pt idx="85">
                  <c:v>425.50000000000097</c:v>
                </c:pt>
                <c:pt idx="86">
                  <c:v>425.80000000000098</c:v>
                </c:pt>
                <c:pt idx="87">
                  <c:v>426.10000000000099</c:v>
                </c:pt>
                <c:pt idx="88">
                  <c:v>426.400000000001</c:v>
                </c:pt>
                <c:pt idx="89">
                  <c:v>426.70000000000101</c:v>
                </c:pt>
                <c:pt idx="90">
                  <c:v>427.00000000000102</c:v>
                </c:pt>
                <c:pt idx="91">
                  <c:v>427.30000000000103</c:v>
                </c:pt>
                <c:pt idx="92">
                  <c:v>427.60000000000105</c:v>
                </c:pt>
                <c:pt idx="93">
                  <c:v>427.90000000000106</c:v>
                </c:pt>
                <c:pt idx="94">
                  <c:v>428.20000000000107</c:v>
                </c:pt>
                <c:pt idx="95">
                  <c:v>428.50000000000108</c:v>
                </c:pt>
                <c:pt idx="96">
                  <c:v>428.80000000000109</c:v>
                </c:pt>
                <c:pt idx="97">
                  <c:v>429.1000000000011</c:v>
                </c:pt>
                <c:pt idx="98">
                  <c:v>429.40000000000111</c:v>
                </c:pt>
                <c:pt idx="99">
                  <c:v>429.70000000000113</c:v>
                </c:pt>
                <c:pt idx="100">
                  <c:v>430.00000000000114</c:v>
                </c:pt>
              </c:numCache>
            </c:numRef>
          </c:cat>
          <c:val>
            <c:numRef>
              <c:f>donnees!$F$16:$F$116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FC-4F74-A66B-49DCC8175697}"/>
            </c:ext>
          </c:extLst>
        </c:ser>
        <c:ser>
          <c:idx val="4"/>
          <c:order val="4"/>
          <c:tx>
            <c:strRef>
              <c:f>donnees!$G$15</c:f>
              <c:strCache>
                <c:ptCount val="1"/>
                <c:pt idx="0">
                  <c:v>P&amp;L Leg 3</c:v>
                </c:pt>
              </c:strCache>
            </c:strRef>
          </c:tx>
          <c:spPr>
            <a:ln w="12700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donnees!$B$16:$B$116</c:f>
              <c:numCache>
                <c:formatCode>General</c:formatCode>
                <c:ptCount val="101"/>
                <c:pt idx="0">
                  <c:v>400</c:v>
                </c:pt>
                <c:pt idx="1">
                  <c:v>400.3</c:v>
                </c:pt>
                <c:pt idx="2">
                  <c:v>400.6</c:v>
                </c:pt>
                <c:pt idx="3">
                  <c:v>400.90000000000003</c:v>
                </c:pt>
                <c:pt idx="4">
                  <c:v>401.20000000000005</c:v>
                </c:pt>
                <c:pt idx="5">
                  <c:v>401.50000000000006</c:v>
                </c:pt>
                <c:pt idx="6">
                  <c:v>401.80000000000007</c:v>
                </c:pt>
                <c:pt idx="7">
                  <c:v>402.10000000000008</c:v>
                </c:pt>
                <c:pt idx="8">
                  <c:v>402.40000000000009</c:v>
                </c:pt>
                <c:pt idx="9">
                  <c:v>402.7000000000001</c:v>
                </c:pt>
                <c:pt idx="10">
                  <c:v>403.00000000000011</c:v>
                </c:pt>
                <c:pt idx="11">
                  <c:v>403.30000000000013</c:v>
                </c:pt>
                <c:pt idx="12">
                  <c:v>403.60000000000014</c:v>
                </c:pt>
                <c:pt idx="13">
                  <c:v>403.90000000000015</c:v>
                </c:pt>
                <c:pt idx="14">
                  <c:v>404.20000000000016</c:v>
                </c:pt>
                <c:pt idx="15">
                  <c:v>404.50000000000017</c:v>
                </c:pt>
                <c:pt idx="16">
                  <c:v>404.80000000000018</c:v>
                </c:pt>
                <c:pt idx="17">
                  <c:v>405.10000000000019</c:v>
                </c:pt>
                <c:pt idx="18">
                  <c:v>405.4000000000002</c:v>
                </c:pt>
                <c:pt idx="19">
                  <c:v>405.70000000000022</c:v>
                </c:pt>
                <c:pt idx="20">
                  <c:v>406.00000000000023</c:v>
                </c:pt>
                <c:pt idx="21">
                  <c:v>406.30000000000024</c:v>
                </c:pt>
                <c:pt idx="22">
                  <c:v>406.60000000000025</c:v>
                </c:pt>
                <c:pt idx="23">
                  <c:v>406.90000000000026</c:v>
                </c:pt>
                <c:pt idx="24">
                  <c:v>407.20000000000027</c:v>
                </c:pt>
                <c:pt idx="25">
                  <c:v>407.50000000000028</c:v>
                </c:pt>
                <c:pt idx="26">
                  <c:v>407.8000000000003</c:v>
                </c:pt>
                <c:pt idx="27">
                  <c:v>408.10000000000031</c:v>
                </c:pt>
                <c:pt idx="28">
                  <c:v>408.40000000000032</c:v>
                </c:pt>
                <c:pt idx="29">
                  <c:v>408.70000000000033</c:v>
                </c:pt>
                <c:pt idx="30">
                  <c:v>409.00000000000034</c:v>
                </c:pt>
                <c:pt idx="31">
                  <c:v>409.30000000000035</c:v>
                </c:pt>
                <c:pt idx="32">
                  <c:v>409.60000000000036</c:v>
                </c:pt>
                <c:pt idx="33">
                  <c:v>409.90000000000038</c:v>
                </c:pt>
                <c:pt idx="34">
                  <c:v>410.20000000000039</c:v>
                </c:pt>
                <c:pt idx="35">
                  <c:v>410.5000000000004</c:v>
                </c:pt>
                <c:pt idx="36">
                  <c:v>410.80000000000041</c:v>
                </c:pt>
                <c:pt idx="37">
                  <c:v>411.10000000000042</c:v>
                </c:pt>
                <c:pt idx="38">
                  <c:v>411.40000000000043</c:v>
                </c:pt>
                <c:pt idx="39">
                  <c:v>411.70000000000044</c:v>
                </c:pt>
                <c:pt idx="40">
                  <c:v>412.00000000000045</c:v>
                </c:pt>
                <c:pt idx="41">
                  <c:v>412.30000000000047</c:v>
                </c:pt>
                <c:pt idx="42">
                  <c:v>412.60000000000048</c:v>
                </c:pt>
                <c:pt idx="43">
                  <c:v>412.90000000000049</c:v>
                </c:pt>
                <c:pt idx="44">
                  <c:v>413.2000000000005</c:v>
                </c:pt>
                <c:pt idx="45">
                  <c:v>413.50000000000051</c:v>
                </c:pt>
                <c:pt idx="46">
                  <c:v>413.80000000000052</c:v>
                </c:pt>
                <c:pt idx="47">
                  <c:v>414.10000000000053</c:v>
                </c:pt>
                <c:pt idx="48">
                  <c:v>414.40000000000055</c:v>
                </c:pt>
                <c:pt idx="49">
                  <c:v>414.70000000000056</c:v>
                </c:pt>
                <c:pt idx="50">
                  <c:v>415.00000000000057</c:v>
                </c:pt>
                <c:pt idx="51">
                  <c:v>415.30000000000058</c:v>
                </c:pt>
                <c:pt idx="52">
                  <c:v>415.60000000000059</c:v>
                </c:pt>
                <c:pt idx="53">
                  <c:v>415.9000000000006</c:v>
                </c:pt>
                <c:pt idx="54">
                  <c:v>416.20000000000061</c:v>
                </c:pt>
                <c:pt idx="55">
                  <c:v>416.50000000000063</c:v>
                </c:pt>
                <c:pt idx="56">
                  <c:v>416.80000000000064</c:v>
                </c:pt>
                <c:pt idx="57">
                  <c:v>417.10000000000065</c:v>
                </c:pt>
                <c:pt idx="58">
                  <c:v>417.40000000000066</c:v>
                </c:pt>
                <c:pt idx="59">
                  <c:v>417.70000000000067</c:v>
                </c:pt>
                <c:pt idx="60">
                  <c:v>418.00000000000068</c:v>
                </c:pt>
                <c:pt idx="61">
                  <c:v>418.30000000000069</c:v>
                </c:pt>
                <c:pt idx="62">
                  <c:v>418.6000000000007</c:v>
                </c:pt>
                <c:pt idx="63">
                  <c:v>418.90000000000072</c:v>
                </c:pt>
                <c:pt idx="64">
                  <c:v>419.20000000000073</c:v>
                </c:pt>
                <c:pt idx="65">
                  <c:v>419.50000000000074</c:v>
                </c:pt>
                <c:pt idx="66">
                  <c:v>419.80000000000075</c:v>
                </c:pt>
                <c:pt idx="67">
                  <c:v>420.10000000000076</c:v>
                </c:pt>
                <c:pt idx="68">
                  <c:v>420.40000000000077</c:v>
                </c:pt>
                <c:pt idx="69">
                  <c:v>420.70000000000078</c:v>
                </c:pt>
                <c:pt idx="70">
                  <c:v>421.0000000000008</c:v>
                </c:pt>
                <c:pt idx="71">
                  <c:v>421.30000000000081</c:v>
                </c:pt>
                <c:pt idx="72">
                  <c:v>421.60000000000082</c:v>
                </c:pt>
                <c:pt idx="73">
                  <c:v>421.90000000000083</c:v>
                </c:pt>
                <c:pt idx="74">
                  <c:v>422.20000000000084</c:v>
                </c:pt>
                <c:pt idx="75">
                  <c:v>422.50000000000085</c:v>
                </c:pt>
                <c:pt idx="76">
                  <c:v>422.80000000000086</c:v>
                </c:pt>
                <c:pt idx="77">
                  <c:v>423.10000000000088</c:v>
                </c:pt>
                <c:pt idx="78">
                  <c:v>423.40000000000089</c:v>
                </c:pt>
                <c:pt idx="79">
                  <c:v>423.7000000000009</c:v>
                </c:pt>
                <c:pt idx="80">
                  <c:v>424.00000000000091</c:v>
                </c:pt>
                <c:pt idx="81">
                  <c:v>424.30000000000092</c:v>
                </c:pt>
                <c:pt idx="82">
                  <c:v>424.60000000000093</c:v>
                </c:pt>
                <c:pt idx="83">
                  <c:v>424.90000000000094</c:v>
                </c:pt>
                <c:pt idx="84">
                  <c:v>425.20000000000095</c:v>
                </c:pt>
                <c:pt idx="85">
                  <c:v>425.50000000000097</c:v>
                </c:pt>
                <c:pt idx="86">
                  <c:v>425.80000000000098</c:v>
                </c:pt>
                <c:pt idx="87">
                  <c:v>426.10000000000099</c:v>
                </c:pt>
                <c:pt idx="88">
                  <c:v>426.400000000001</c:v>
                </c:pt>
                <c:pt idx="89">
                  <c:v>426.70000000000101</c:v>
                </c:pt>
                <c:pt idx="90">
                  <c:v>427.00000000000102</c:v>
                </c:pt>
                <c:pt idx="91">
                  <c:v>427.30000000000103</c:v>
                </c:pt>
                <c:pt idx="92">
                  <c:v>427.60000000000105</c:v>
                </c:pt>
                <c:pt idx="93">
                  <c:v>427.90000000000106</c:v>
                </c:pt>
                <c:pt idx="94">
                  <c:v>428.20000000000107</c:v>
                </c:pt>
                <c:pt idx="95">
                  <c:v>428.50000000000108</c:v>
                </c:pt>
                <c:pt idx="96">
                  <c:v>428.80000000000109</c:v>
                </c:pt>
                <c:pt idx="97">
                  <c:v>429.1000000000011</c:v>
                </c:pt>
                <c:pt idx="98">
                  <c:v>429.40000000000111</c:v>
                </c:pt>
                <c:pt idx="99">
                  <c:v>429.70000000000113</c:v>
                </c:pt>
                <c:pt idx="100">
                  <c:v>430.00000000000114</c:v>
                </c:pt>
              </c:numCache>
            </c:numRef>
          </c:cat>
          <c:val>
            <c:numRef>
              <c:f>donnees!$G$16:$G$116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FC-4F74-A66B-49DCC8175697}"/>
            </c:ext>
          </c:extLst>
        </c:ser>
        <c:ser>
          <c:idx val="5"/>
          <c:order val="5"/>
          <c:tx>
            <c:strRef>
              <c:f>donnees!$H$15</c:f>
              <c:strCache>
                <c:ptCount val="1"/>
                <c:pt idx="0">
                  <c:v>P&amp;L Leg 4</c:v>
                </c:pt>
              </c:strCache>
            </c:strRef>
          </c:tx>
          <c:spPr>
            <a:ln w="1270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donnees!$B$16:$B$116</c:f>
              <c:numCache>
                <c:formatCode>General</c:formatCode>
                <c:ptCount val="101"/>
                <c:pt idx="0">
                  <c:v>400</c:v>
                </c:pt>
                <c:pt idx="1">
                  <c:v>400.3</c:v>
                </c:pt>
                <c:pt idx="2">
                  <c:v>400.6</c:v>
                </c:pt>
                <c:pt idx="3">
                  <c:v>400.90000000000003</c:v>
                </c:pt>
                <c:pt idx="4">
                  <c:v>401.20000000000005</c:v>
                </c:pt>
                <c:pt idx="5">
                  <c:v>401.50000000000006</c:v>
                </c:pt>
                <c:pt idx="6">
                  <c:v>401.80000000000007</c:v>
                </c:pt>
                <c:pt idx="7">
                  <c:v>402.10000000000008</c:v>
                </c:pt>
                <c:pt idx="8">
                  <c:v>402.40000000000009</c:v>
                </c:pt>
                <c:pt idx="9">
                  <c:v>402.7000000000001</c:v>
                </c:pt>
                <c:pt idx="10">
                  <c:v>403.00000000000011</c:v>
                </c:pt>
                <c:pt idx="11">
                  <c:v>403.30000000000013</c:v>
                </c:pt>
                <c:pt idx="12">
                  <c:v>403.60000000000014</c:v>
                </c:pt>
                <c:pt idx="13">
                  <c:v>403.90000000000015</c:v>
                </c:pt>
                <c:pt idx="14">
                  <c:v>404.20000000000016</c:v>
                </c:pt>
                <c:pt idx="15">
                  <c:v>404.50000000000017</c:v>
                </c:pt>
                <c:pt idx="16">
                  <c:v>404.80000000000018</c:v>
                </c:pt>
                <c:pt idx="17">
                  <c:v>405.10000000000019</c:v>
                </c:pt>
                <c:pt idx="18">
                  <c:v>405.4000000000002</c:v>
                </c:pt>
                <c:pt idx="19">
                  <c:v>405.70000000000022</c:v>
                </c:pt>
                <c:pt idx="20">
                  <c:v>406.00000000000023</c:v>
                </c:pt>
                <c:pt idx="21">
                  <c:v>406.30000000000024</c:v>
                </c:pt>
                <c:pt idx="22">
                  <c:v>406.60000000000025</c:v>
                </c:pt>
                <c:pt idx="23">
                  <c:v>406.90000000000026</c:v>
                </c:pt>
                <c:pt idx="24">
                  <c:v>407.20000000000027</c:v>
                </c:pt>
                <c:pt idx="25">
                  <c:v>407.50000000000028</c:v>
                </c:pt>
                <c:pt idx="26">
                  <c:v>407.8000000000003</c:v>
                </c:pt>
                <c:pt idx="27">
                  <c:v>408.10000000000031</c:v>
                </c:pt>
                <c:pt idx="28">
                  <c:v>408.40000000000032</c:v>
                </c:pt>
                <c:pt idx="29">
                  <c:v>408.70000000000033</c:v>
                </c:pt>
                <c:pt idx="30">
                  <c:v>409.00000000000034</c:v>
                </c:pt>
                <c:pt idx="31">
                  <c:v>409.30000000000035</c:v>
                </c:pt>
                <c:pt idx="32">
                  <c:v>409.60000000000036</c:v>
                </c:pt>
                <c:pt idx="33">
                  <c:v>409.90000000000038</c:v>
                </c:pt>
                <c:pt idx="34">
                  <c:v>410.20000000000039</c:v>
                </c:pt>
                <c:pt idx="35">
                  <c:v>410.5000000000004</c:v>
                </c:pt>
                <c:pt idx="36">
                  <c:v>410.80000000000041</c:v>
                </c:pt>
                <c:pt idx="37">
                  <c:v>411.10000000000042</c:v>
                </c:pt>
                <c:pt idx="38">
                  <c:v>411.40000000000043</c:v>
                </c:pt>
                <c:pt idx="39">
                  <c:v>411.70000000000044</c:v>
                </c:pt>
                <c:pt idx="40">
                  <c:v>412.00000000000045</c:v>
                </c:pt>
                <c:pt idx="41">
                  <c:v>412.30000000000047</c:v>
                </c:pt>
                <c:pt idx="42">
                  <c:v>412.60000000000048</c:v>
                </c:pt>
                <c:pt idx="43">
                  <c:v>412.90000000000049</c:v>
                </c:pt>
                <c:pt idx="44">
                  <c:v>413.2000000000005</c:v>
                </c:pt>
                <c:pt idx="45">
                  <c:v>413.50000000000051</c:v>
                </c:pt>
                <c:pt idx="46">
                  <c:v>413.80000000000052</c:v>
                </c:pt>
                <c:pt idx="47">
                  <c:v>414.10000000000053</c:v>
                </c:pt>
                <c:pt idx="48">
                  <c:v>414.40000000000055</c:v>
                </c:pt>
                <c:pt idx="49">
                  <c:v>414.70000000000056</c:v>
                </c:pt>
                <c:pt idx="50">
                  <c:v>415.00000000000057</c:v>
                </c:pt>
                <c:pt idx="51">
                  <c:v>415.30000000000058</c:v>
                </c:pt>
                <c:pt idx="52">
                  <c:v>415.60000000000059</c:v>
                </c:pt>
                <c:pt idx="53">
                  <c:v>415.9000000000006</c:v>
                </c:pt>
                <c:pt idx="54">
                  <c:v>416.20000000000061</c:v>
                </c:pt>
                <c:pt idx="55">
                  <c:v>416.50000000000063</c:v>
                </c:pt>
                <c:pt idx="56">
                  <c:v>416.80000000000064</c:v>
                </c:pt>
                <c:pt idx="57">
                  <c:v>417.10000000000065</c:v>
                </c:pt>
                <c:pt idx="58">
                  <c:v>417.40000000000066</c:v>
                </c:pt>
                <c:pt idx="59">
                  <c:v>417.70000000000067</c:v>
                </c:pt>
                <c:pt idx="60">
                  <c:v>418.00000000000068</c:v>
                </c:pt>
                <c:pt idx="61">
                  <c:v>418.30000000000069</c:v>
                </c:pt>
                <c:pt idx="62">
                  <c:v>418.6000000000007</c:v>
                </c:pt>
                <c:pt idx="63">
                  <c:v>418.90000000000072</c:v>
                </c:pt>
                <c:pt idx="64">
                  <c:v>419.20000000000073</c:v>
                </c:pt>
                <c:pt idx="65">
                  <c:v>419.50000000000074</c:v>
                </c:pt>
                <c:pt idx="66">
                  <c:v>419.80000000000075</c:v>
                </c:pt>
                <c:pt idx="67">
                  <c:v>420.10000000000076</c:v>
                </c:pt>
                <c:pt idx="68">
                  <c:v>420.40000000000077</c:v>
                </c:pt>
                <c:pt idx="69">
                  <c:v>420.70000000000078</c:v>
                </c:pt>
                <c:pt idx="70">
                  <c:v>421.0000000000008</c:v>
                </c:pt>
                <c:pt idx="71">
                  <c:v>421.30000000000081</c:v>
                </c:pt>
                <c:pt idx="72">
                  <c:v>421.60000000000082</c:v>
                </c:pt>
                <c:pt idx="73">
                  <c:v>421.90000000000083</c:v>
                </c:pt>
                <c:pt idx="74">
                  <c:v>422.20000000000084</c:v>
                </c:pt>
                <c:pt idx="75">
                  <c:v>422.50000000000085</c:v>
                </c:pt>
                <c:pt idx="76">
                  <c:v>422.80000000000086</c:v>
                </c:pt>
                <c:pt idx="77">
                  <c:v>423.10000000000088</c:v>
                </c:pt>
                <c:pt idx="78">
                  <c:v>423.40000000000089</c:v>
                </c:pt>
                <c:pt idx="79">
                  <c:v>423.7000000000009</c:v>
                </c:pt>
                <c:pt idx="80">
                  <c:v>424.00000000000091</c:v>
                </c:pt>
                <c:pt idx="81">
                  <c:v>424.30000000000092</c:v>
                </c:pt>
                <c:pt idx="82">
                  <c:v>424.60000000000093</c:v>
                </c:pt>
                <c:pt idx="83">
                  <c:v>424.90000000000094</c:v>
                </c:pt>
                <c:pt idx="84">
                  <c:v>425.20000000000095</c:v>
                </c:pt>
                <c:pt idx="85">
                  <c:v>425.50000000000097</c:v>
                </c:pt>
                <c:pt idx="86">
                  <c:v>425.80000000000098</c:v>
                </c:pt>
                <c:pt idx="87">
                  <c:v>426.10000000000099</c:v>
                </c:pt>
                <c:pt idx="88">
                  <c:v>426.400000000001</c:v>
                </c:pt>
                <c:pt idx="89">
                  <c:v>426.70000000000101</c:v>
                </c:pt>
                <c:pt idx="90">
                  <c:v>427.00000000000102</c:v>
                </c:pt>
                <c:pt idx="91">
                  <c:v>427.30000000000103</c:v>
                </c:pt>
                <c:pt idx="92">
                  <c:v>427.60000000000105</c:v>
                </c:pt>
                <c:pt idx="93">
                  <c:v>427.90000000000106</c:v>
                </c:pt>
                <c:pt idx="94">
                  <c:v>428.20000000000107</c:v>
                </c:pt>
                <c:pt idx="95">
                  <c:v>428.50000000000108</c:v>
                </c:pt>
                <c:pt idx="96">
                  <c:v>428.80000000000109</c:v>
                </c:pt>
                <c:pt idx="97">
                  <c:v>429.1000000000011</c:v>
                </c:pt>
                <c:pt idx="98">
                  <c:v>429.40000000000111</c:v>
                </c:pt>
                <c:pt idx="99">
                  <c:v>429.70000000000113</c:v>
                </c:pt>
                <c:pt idx="100">
                  <c:v>430.00000000000114</c:v>
                </c:pt>
              </c:numCache>
            </c:numRef>
          </c:cat>
          <c:val>
            <c:numRef>
              <c:f>donnees!$H$16:$H$116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FC-4F74-A66B-49DCC8175697}"/>
            </c:ext>
          </c:extLst>
        </c:ser>
        <c:ser>
          <c:idx val="6"/>
          <c:order val="6"/>
          <c:tx>
            <c:strRef>
              <c:f>donnees!$I$15</c:f>
              <c:strCache>
                <c:ptCount val="1"/>
                <c:pt idx="0">
                  <c:v>P&amp;L Leg 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donnees!$B$16:$B$116</c:f>
              <c:numCache>
                <c:formatCode>General</c:formatCode>
                <c:ptCount val="101"/>
                <c:pt idx="0">
                  <c:v>400</c:v>
                </c:pt>
                <c:pt idx="1">
                  <c:v>400.3</c:v>
                </c:pt>
                <c:pt idx="2">
                  <c:v>400.6</c:v>
                </c:pt>
                <c:pt idx="3">
                  <c:v>400.90000000000003</c:v>
                </c:pt>
                <c:pt idx="4">
                  <c:v>401.20000000000005</c:v>
                </c:pt>
                <c:pt idx="5">
                  <c:v>401.50000000000006</c:v>
                </c:pt>
                <c:pt idx="6">
                  <c:v>401.80000000000007</c:v>
                </c:pt>
                <c:pt idx="7">
                  <c:v>402.10000000000008</c:v>
                </c:pt>
                <c:pt idx="8">
                  <c:v>402.40000000000009</c:v>
                </c:pt>
                <c:pt idx="9">
                  <c:v>402.7000000000001</c:v>
                </c:pt>
                <c:pt idx="10">
                  <c:v>403.00000000000011</c:v>
                </c:pt>
                <c:pt idx="11">
                  <c:v>403.30000000000013</c:v>
                </c:pt>
                <c:pt idx="12">
                  <c:v>403.60000000000014</c:v>
                </c:pt>
                <c:pt idx="13">
                  <c:v>403.90000000000015</c:v>
                </c:pt>
                <c:pt idx="14">
                  <c:v>404.20000000000016</c:v>
                </c:pt>
                <c:pt idx="15">
                  <c:v>404.50000000000017</c:v>
                </c:pt>
                <c:pt idx="16">
                  <c:v>404.80000000000018</c:v>
                </c:pt>
                <c:pt idx="17">
                  <c:v>405.10000000000019</c:v>
                </c:pt>
                <c:pt idx="18">
                  <c:v>405.4000000000002</c:v>
                </c:pt>
                <c:pt idx="19">
                  <c:v>405.70000000000022</c:v>
                </c:pt>
                <c:pt idx="20">
                  <c:v>406.00000000000023</c:v>
                </c:pt>
                <c:pt idx="21">
                  <c:v>406.30000000000024</c:v>
                </c:pt>
                <c:pt idx="22">
                  <c:v>406.60000000000025</c:v>
                </c:pt>
                <c:pt idx="23">
                  <c:v>406.90000000000026</c:v>
                </c:pt>
                <c:pt idx="24">
                  <c:v>407.20000000000027</c:v>
                </c:pt>
                <c:pt idx="25">
                  <c:v>407.50000000000028</c:v>
                </c:pt>
                <c:pt idx="26">
                  <c:v>407.8000000000003</c:v>
                </c:pt>
                <c:pt idx="27">
                  <c:v>408.10000000000031</c:v>
                </c:pt>
                <c:pt idx="28">
                  <c:v>408.40000000000032</c:v>
                </c:pt>
                <c:pt idx="29">
                  <c:v>408.70000000000033</c:v>
                </c:pt>
                <c:pt idx="30">
                  <c:v>409.00000000000034</c:v>
                </c:pt>
                <c:pt idx="31">
                  <c:v>409.30000000000035</c:v>
                </c:pt>
                <c:pt idx="32">
                  <c:v>409.60000000000036</c:v>
                </c:pt>
                <c:pt idx="33">
                  <c:v>409.90000000000038</c:v>
                </c:pt>
                <c:pt idx="34">
                  <c:v>410.20000000000039</c:v>
                </c:pt>
                <c:pt idx="35">
                  <c:v>410.5000000000004</c:v>
                </c:pt>
                <c:pt idx="36">
                  <c:v>410.80000000000041</c:v>
                </c:pt>
                <c:pt idx="37">
                  <c:v>411.10000000000042</c:v>
                </c:pt>
                <c:pt idx="38">
                  <c:v>411.40000000000043</c:v>
                </c:pt>
                <c:pt idx="39">
                  <c:v>411.70000000000044</c:v>
                </c:pt>
                <c:pt idx="40">
                  <c:v>412.00000000000045</c:v>
                </c:pt>
                <c:pt idx="41">
                  <c:v>412.30000000000047</c:v>
                </c:pt>
                <c:pt idx="42">
                  <c:v>412.60000000000048</c:v>
                </c:pt>
                <c:pt idx="43">
                  <c:v>412.90000000000049</c:v>
                </c:pt>
                <c:pt idx="44">
                  <c:v>413.2000000000005</c:v>
                </c:pt>
                <c:pt idx="45">
                  <c:v>413.50000000000051</c:v>
                </c:pt>
                <c:pt idx="46">
                  <c:v>413.80000000000052</c:v>
                </c:pt>
                <c:pt idx="47">
                  <c:v>414.10000000000053</c:v>
                </c:pt>
                <c:pt idx="48">
                  <c:v>414.40000000000055</c:v>
                </c:pt>
                <c:pt idx="49">
                  <c:v>414.70000000000056</c:v>
                </c:pt>
                <c:pt idx="50">
                  <c:v>415.00000000000057</c:v>
                </c:pt>
                <c:pt idx="51">
                  <c:v>415.30000000000058</c:v>
                </c:pt>
                <c:pt idx="52">
                  <c:v>415.60000000000059</c:v>
                </c:pt>
                <c:pt idx="53">
                  <c:v>415.9000000000006</c:v>
                </c:pt>
                <c:pt idx="54">
                  <c:v>416.20000000000061</c:v>
                </c:pt>
                <c:pt idx="55">
                  <c:v>416.50000000000063</c:v>
                </c:pt>
                <c:pt idx="56">
                  <c:v>416.80000000000064</c:v>
                </c:pt>
                <c:pt idx="57">
                  <c:v>417.10000000000065</c:v>
                </c:pt>
                <c:pt idx="58">
                  <c:v>417.40000000000066</c:v>
                </c:pt>
                <c:pt idx="59">
                  <c:v>417.70000000000067</c:v>
                </c:pt>
                <c:pt idx="60">
                  <c:v>418.00000000000068</c:v>
                </c:pt>
                <c:pt idx="61">
                  <c:v>418.30000000000069</c:v>
                </c:pt>
                <c:pt idx="62">
                  <c:v>418.6000000000007</c:v>
                </c:pt>
                <c:pt idx="63">
                  <c:v>418.90000000000072</c:v>
                </c:pt>
                <c:pt idx="64">
                  <c:v>419.20000000000073</c:v>
                </c:pt>
                <c:pt idx="65">
                  <c:v>419.50000000000074</c:v>
                </c:pt>
                <c:pt idx="66">
                  <c:v>419.80000000000075</c:v>
                </c:pt>
                <c:pt idx="67">
                  <c:v>420.10000000000076</c:v>
                </c:pt>
                <c:pt idx="68">
                  <c:v>420.40000000000077</c:v>
                </c:pt>
                <c:pt idx="69">
                  <c:v>420.70000000000078</c:v>
                </c:pt>
                <c:pt idx="70">
                  <c:v>421.0000000000008</c:v>
                </c:pt>
                <c:pt idx="71">
                  <c:v>421.30000000000081</c:v>
                </c:pt>
                <c:pt idx="72">
                  <c:v>421.60000000000082</c:v>
                </c:pt>
                <c:pt idx="73">
                  <c:v>421.90000000000083</c:v>
                </c:pt>
                <c:pt idx="74">
                  <c:v>422.20000000000084</c:v>
                </c:pt>
                <c:pt idx="75">
                  <c:v>422.50000000000085</c:v>
                </c:pt>
                <c:pt idx="76">
                  <c:v>422.80000000000086</c:v>
                </c:pt>
                <c:pt idx="77">
                  <c:v>423.10000000000088</c:v>
                </c:pt>
                <c:pt idx="78">
                  <c:v>423.40000000000089</c:v>
                </c:pt>
                <c:pt idx="79">
                  <c:v>423.7000000000009</c:v>
                </c:pt>
                <c:pt idx="80">
                  <c:v>424.00000000000091</c:v>
                </c:pt>
                <c:pt idx="81">
                  <c:v>424.30000000000092</c:v>
                </c:pt>
                <c:pt idx="82">
                  <c:v>424.60000000000093</c:v>
                </c:pt>
                <c:pt idx="83">
                  <c:v>424.90000000000094</c:v>
                </c:pt>
                <c:pt idx="84">
                  <c:v>425.20000000000095</c:v>
                </c:pt>
                <c:pt idx="85">
                  <c:v>425.50000000000097</c:v>
                </c:pt>
                <c:pt idx="86">
                  <c:v>425.80000000000098</c:v>
                </c:pt>
                <c:pt idx="87">
                  <c:v>426.10000000000099</c:v>
                </c:pt>
                <c:pt idx="88">
                  <c:v>426.400000000001</c:v>
                </c:pt>
                <c:pt idx="89">
                  <c:v>426.70000000000101</c:v>
                </c:pt>
                <c:pt idx="90">
                  <c:v>427.00000000000102</c:v>
                </c:pt>
                <c:pt idx="91">
                  <c:v>427.30000000000103</c:v>
                </c:pt>
                <c:pt idx="92">
                  <c:v>427.60000000000105</c:v>
                </c:pt>
                <c:pt idx="93">
                  <c:v>427.90000000000106</c:v>
                </c:pt>
                <c:pt idx="94">
                  <c:v>428.20000000000107</c:v>
                </c:pt>
                <c:pt idx="95">
                  <c:v>428.50000000000108</c:v>
                </c:pt>
                <c:pt idx="96">
                  <c:v>428.80000000000109</c:v>
                </c:pt>
                <c:pt idx="97">
                  <c:v>429.1000000000011</c:v>
                </c:pt>
                <c:pt idx="98">
                  <c:v>429.40000000000111</c:v>
                </c:pt>
                <c:pt idx="99">
                  <c:v>429.70000000000113</c:v>
                </c:pt>
                <c:pt idx="100">
                  <c:v>430.00000000000114</c:v>
                </c:pt>
              </c:numCache>
            </c:numRef>
          </c:cat>
          <c:val>
            <c:numRef>
              <c:f>donnees!$I$16:$I$116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FC-4F74-A66B-49DCC8175697}"/>
            </c:ext>
          </c:extLst>
        </c:ser>
        <c:ser>
          <c:idx val="7"/>
          <c:order val="7"/>
          <c:tx>
            <c:strRef>
              <c:f>donnees!$J$15</c:f>
              <c:strCache>
                <c:ptCount val="1"/>
                <c:pt idx="0">
                  <c:v>P&amp;L Leg 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donnees!$B$16:$B$116</c:f>
              <c:numCache>
                <c:formatCode>General</c:formatCode>
                <c:ptCount val="101"/>
                <c:pt idx="0">
                  <c:v>400</c:v>
                </c:pt>
                <c:pt idx="1">
                  <c:v>400.3</c:v>
                </c:pt>
                <c:pt idx="2">
                  <c:v>400.6</c:v>
                </c:pt>
                <c:pt idx="3">
                  <c:v>400.90000000000003</c:v>
                </c:pt>
                <c:pt idx="4">
                  <c:v>401.20000000000005</c:v>
                </c:pt>
                <c:pt idx="5">
                  <c:v>401.50000000000006</c:v>
                </c:pt>
                <c:pt idx="6">
                  <c:v>401.80000000000007</c:v>
                </c:pt>
                <c:pt idx="7">
                  <c:v>402.10000000000008</c:v>
                </c:pt>
                <c:pt idx="8">
                  <c:v>402.40000000000009</c:v>
                </c:pt>
                <c:pt idx="9">
                  <c:v>402.7000000000001</c:v>
                </c:pt>
                <c:pt idx="10">
                  <c:v>403.00000000000011</c:v>
                </c:pt>
                <c:pt idx="11">
                  <c:v>403.30000000000013</c:v>
                </c:pt>
                <c:pt idx="12">
                  <c:v>403.60000000000014</c:v>
                </c:pt>
                <c:pt idx="13">
                  <c:v>403.90000000000015</c:v>
                </c:pt>
                <c:pt idx="14">
                  <c:v>404.20000000000016</c:v>
                </c:pt>
                <c:pt idx="15">
                  <c:v>404.50000000000017</c:v>
                </c:pt>
                <c:pt idx="16">
                  <c:v>404.80000000000018</c:v>
                </c:pt>
                <c:pt idx="17">
                  <c:v>405.10000000000019</c:v>
                </c:pt>
                <c:pt idx="18">
                  <c:v>405.4000000000002</c:v>
                </c:pt>
                <c:pt idx="19">
                  <c:v>405.70000000000022</c:v>
                </c:pt>
                <c:pt idx="20">
                  <c:v>406.00000000000023</c:v>
                </c:pt>
                <c:pt idx="21">
                  <c:v>406.30000000000024</c:v>
                </c:pt>
                <c:pt idx="22">
                  <c:v>406.60000000000025</c:v>
                </c:pt>
                <c:pt idx="23">
                  <c:v>406.90000000000026</c:v>
                </c:pt>
                <c:pt idx="24">
                  <c:v>407.20000000000027</c:v>
                </c:pt>
                <c:pt idx="25">
                  <c:v>407.50000000000028</c:v>
                </c:pt>
                <c:pt idx="26">
                  <c:v>407.8000000000003</c:v>
                </c:pt>
                <c:pt idx="27">
                  <c:v>408.10000000000031</c:v>
                </c:pt>
                <c:pt idx="28">
                  <c:v>408.40000000000032</c:v>
                </c:pt>
                <c:pt idx="29">
                  <c:v>408.70000000000033</c:v>
                </c:pt>
                <c:pt idx="30">
                  <c:v>409.00000000000034</c:v>
                </c:pt>
                <c:pt idx="31">
                  <c:v>409.30000000000035</c:v>
                </c:pt>
                <c:pt idx="32">
                  <c:v>409.60000000000036</c:v>
                </c:pt>
                <c:pt idx="33">
                  <c:v>409.90000000000038</c:v>
                </c:pt>
                <c:pt idx="34">
                  <c:v>410.20000000000039</c:v>
                </c:pt>
                <c:pt idx="35">
                  <c:v>410.5000000000004</c:v>
                </c:pt>
                <c:pt idx="36">
                  <c:v>410.80000000000041</c:v>
                </c:pt>
                <c:pt idx="37">
                  <c:v>411.10000000000042</c:v>
                </c:pt>
                <c:pt idx="38">
                  <c:v>411.40000000000043</c:v>
                </c:pt>
                <c:pt idx="39">
                  <c:v>411.70000000000044</c:v>
                </c:pt>
                <c:pt idx="40">
                  <c:v>412.00000000000045</c:v>
                </c:pt>
                <c:pt idx="41">
                  <c:v>412.30000000000047</c:v>
                </c:pt>
                <c:pt idx="42">
                  <c:v>412.60000000000048</c:v>
                </c:pt>
                <c:pt idx="43">
                  <c:v>412.90000000000049</c:v>
                </c:pt>
                <c:pt idx="44">
                  <c:v>413.2000000000005</c:v>
                </c:pt>
                <c:pt idx="45">
                  <c:v>413.50000000000051</c:v>
                </c:pt>
                <c:pt idx="46">
                  <c:v>413.80000000000052</c:v>
                </c:pt>
                <c:pt idx="47">
                  <c:v>414.10000000000053</c:v>
                </c:pt>
                <c:pt idx="48">
                  <c:v>414.40000000000055</c:v>
                </c:pt>
                <c:pt idx="49">
                  <c:v>414.70000000000056</c:v>
                </c:pt>
                <c:pt idx="50">
                  <c:v>415.00000000000057</c:v>
                </c:pt>
                <c:pt idx="51">
                  <c:v>415.30000000000058</c:v>
                </c:pt>
                <c:pt idx="52">
                  <c:v>415.60000000000059</c:v>
                </c:pt>
                <c:pt idx="53">
                  <c:v>415.9000000000006</c:v>
                </c:pt>
                <c:pt idx="54">
                  <c:v>416.20000000000061</c:v>
                </c:pt>
                <c:pt idx="55">
                  <c:v>416.50000000000063</c:v>
                </c:pt>
                <c:pt idx="56">
                  <c:v>416.80000000000064</c:v>
                </c:pt>
                <c:pt idx="57">
                  <c:v>417.10000000000065</c:v>
                </c:pt>
                <c:pt idx="58">
                  <c:v>417.40000000000066</c:v>
                </c:pt>
                <c:pt idx="59">
                  <c:v>417.70000000000067</c:v>
                </c:pt>
                <c:pt idx="60">
                  <c:v>418.00000000000068</c:v>
                </c:pt>
                <c:pt idx="61">
                  <c:v>418.30000000000069</c:v>
                </c:pt>
                <c:pt idx="62">
                  <c:v>418.6000000000007</c:v>
                </c:pt>
                <c:pt idx="63">
                  <c:v>418.90000000000072</c:v>
                </c:pt>
                <c:pt idx="64">
                  <c:v>419.20000000000073</c:v>
                </c:pt>
                <c:pt idx="65">
                  <c:v>419.50000000000074</c:v>
                </c:pt>
                <c:pt idx="66">
                  <c:v>419.80000000000075</c:v>
                </c:pt>
                <c:pt idx="67">
                  <c:v>420.10000000000076</c:v>
                </c:pt>
                <c:pt idx="68">
                  <c:v>420.40000000000077</c:v>
                </c:pt>
                <c:pt idx="69">
                  <c:v>420.70000000000078</c:v>
                </c:pt>
                <c:pt idx="70">
                  <c:v>421.0000000000008</c:v>
                </c:pt>
                <c:pt idx="71">
                  <c:v>421.30000000000081</c:v>
                </c:pt>
                <c:pt idx="72">
                  <c:v>421.60000000000082</c:v>
                </c:pt>
                <c:pt idx="73">
                  <c:v>421.90000000000083</c:v>
                </c:pt>
                <c:pt idx="74">
                  <c:v>422.20000000000084</c:v>
                </c:pt>
                <c:pt idx="75">
                  <c:v>422.50000000000085</c:v>
                </c:pt>
                <c:pt idx="76">
                  <c:v>422.80000000000086</c:v>
                </c:pt>
                <c:pt idx="77">
                  <c:v>423.10000000000088</c:v>
                </c:pt>
                <c:pt idx="78">
                  <c:v>423.40000000000089</c:v>
                </c:pt>
                <c:pt idx="79">
                  <c:v>423.7000000000009</c:v>
                </c:pt>
                <c:pt idx="80">
                  <c:v>424.00000000000091</c:v>
                </c:pt>
                <c:pt idx="81">
                  <c:v>424.30000000000092</c:v>
                </c:pt>
                <c:pt idx="82">
                  <c:v>424.60000000000093</c:v>
                </c:pt>
                <c:pt idx="83">
                  <c:v>424.90000000000094</c:v>
                </c:pt>
                <c:pt idx="84">
                  <c:v>425.20000000000095</c:v>
                </c:pt>
                <c:pt idx="85">
                  <c:v>425.50000000000097</c:v>
                </c:pt>
                <c:pt idx="86">
                  <c:v>425.80000000000098</c:v>
                </c:pt>
                <c:pt idx="87">
                  <c:v>426.10000000000099</c:v>
                </c:pt>
                <c:pt idx="88">
                  <c:v>426.400000000001</c:v>
                </c:pt>
                <c:pt idx="89">
                  <c:v>426.70000000000101</c:v>
                </c:pt>
                <c:pt idx="90">
                  <c:v>427.00000000000102</c:v>
                </c:pt>
                <c:pt idx="91">
                  <c:v>427.30000000000103</c:v>
                </c:pt>
                <c:pt idx="92">
                  <c:v>427.60000000000105</c:v>
                </c:pt>
                <c:pt idx="93">
                  <c:v>427.90000000000106</c:v>
                </c:pt>
                <c:pt idx="94">
                  <c:v>428.20000000000107</c:v>
                </c:pt>
                <c:pt idx="95">
                  <c:v>428.50000000000108</c:v>
                </c:pt>
                <c:pt idx="96">
                  <c:v>428.80000000000109</c:v>
                </c:pt>
                <c:pt idx="97">
                  <c:v>429.1000000000011</c:v>
                </c:pt>
                <c:pt idx="98">
                  <c:v>429.40000000000111</c:v>
                </c:pt>
                <c:pt idx="99">
                  <c:v>429.70000000000113</c:v>
                </c:pt>
                <c:pt idx="100">
                  <c:v>430.00000000000114</c:v>
                </c:pt>
              </c:numCache>
            </c:numRef>
          </c:cat>
          <c:val>
            <c:numRef>
              <c:f>donnees!$J$16:$J$116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FC-4F74-A66B-49DCC8175697}"/>
            </c:ext>
          </c:extLst>
        </c:ser>
        <c:ser>
          <c:idx val="8"/>
          <c:order val="8"/>
          <c:tx>
            <c:strRef>
              <c:f>donnees!$K$15</c:f>
              <c:strCache>
                <c:ptCount val="1"/>
                <c:pt idx="0">
                  <c:v>P&amp;L Leg 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donnees!$B$16:$B$116</c:f>
              <c:numCache>
                <c:formatCode>General</c:formatCode>
                <c:ptCount val="101"/>
                <c:pt idx="0">
                  <c:v>400</c:v>
                </c:pt>
                <c:pt idx="1">
                  <c:v>400.3</c:v>
                </c:pt>
                <c:pt idx="2">
                  <c:v>400.6</c:v>
                </c:pt>
                <c:pt idx="3">
                  <c:v>400.90000000000003</c:v>
                </c:pt>
                <c:pt idx="4">
                  <c:v>401.20000000000005</c:v>
                </c:pt>
                <c:pt idx="5">
                  <c:v>401.50000000000006</c:v>
                </c:pt>
                <c:pt idx="6">
                  <c:v>401.80000000000007</c:v>
                </c:pt>
                <c:pt idx="7">
                  <c:v>402.10000000000008</c:v>
                </c:pt>
                <c:pt idx="8">
                  <c:v>402.40000000000009</c:v>
                </c:pt>
                <c:pt idx="9">
                  <c:v>402.7000000000001</c:v>
                </c:pt>
                <c:pt idx="10">
                  <c:v>403.00000000000011</c:v>
                </c:pt>
                <c:pt idx="11">
                  <c:v>403.30000000000013</c:v>
                </c:pt>
                <c:pt idx="12">
                  <c:v>403.60000000000014</c:v>
                </c:pt>
                <c:pt idx="13">
                  <c:v>403.90000000000015</c:v>
                </c:pt>
                <c:pt idx="14">
                  <c:v>404.20000000000016</c:v>
                </c:pt>
                <c:pt idx="15">
                  <c:v>404.50000000000017</c:v>
                </c:pt>
                <c:pt idx="16">
                  <c:v>404.80000000000018</c:v>
                </c:pt>
                <c:pt idx="17">
                  <c:v>405.10000000000019</c:v>
                </c:pt>
                <c:pt idx="18">
                  <c:v>405.4000000000002</c:v>
                </c:pt>
                <c:pt idx="19">
                  <c:v>405.70000000000022</c:v>
                </c:pt>
                <c:pt idx="20">
                  <c:v>406.00000000000023</c:v>
                </c:pt>
                <c:pt idx="21">
                  <c:v>406.30000000000024</c:v>
                </c:pt>
                <c:pt idx="22">
                  <c:v>406.60000000000025</c:v>
                </c:pt>
                <c:pt idx="23">
                  <c:v>406.90000000000026</c:v>
                </c:pt>
                <c:pt idx="24">
                  <c:v>407.20000000000027</c:v>
                </c:pt>
                <c:pt idx="25">
                  <c:v>407.50000000000028</c:v>
                </c:pt>
                <c:pt idx="26">
                  <c:v>407.8000000000003</c:v>
                </c:pt>
                <c:pt idx="27">
                  <c:v>408.10000000000031</c:v>
                </c:pt>
                <c:pt idx="28">
                  <c:v>408.40000000000032</c:v>
                </c:pt>
                <c:pt idx="29">
                  <c:v>408.70000000000033</c:v>
                </c:pt>
                <c:pt idx="30">
                  <c:v>409.00000000000034</c:v>
                </c:pt>
                <c:pt idx="31">
                  <c:v>409.30000000000035</c:v>
                </c:pt>
                <c:pt idx="32">
                  <c:v>409.60000000000036</c:v>
                </c:pt>
                <c:pt idx="33">
                  <c:v>409.90000000000038</c:v>
                </c:pt>
                <c:pt idx="34">
                  <c:v>410.20000000000039</c:v>
                </c:pt>
                <c:pt idx="35">
                  <c:v>410.5000000000004</c:v>
                </c:pt>
                <c:pt idx="36">
                  <c:v>410.80000000000041</c:v>
                </c:pt>
                <c:pt idx="37">
                  <c:v>411.10000000000042</c:v>
                </c:pt>
                <c:pt idx="38">
                  <c:v>411.40000000000043</c:v>
                </c:pt>
                <c:pt idx="39">
                  <c:v>411.70000000000044</c:v>
                </c:pt>
                <c:pt idx="40">
                  <c:v>412.00000000000045</c:v>
                </c:pt>
                <c:pt idx="41">
                  <c:v>412.30000000000047</c:v>
                </c:pt>
                <c:pt idx="42">
                  <c:v>412.60000000000048</c:v>
                </c:pt>
                <c:pt idx="43">
                  <c:v>412.90000000000049</c:v>
                </c:pt>
                <c:pt idx="44">
                  <c:v>413.2000000000005</c:v>
                </c:pt>
                <c:pt idx="45">
                  <c:v>413.50000000000051</c:v>
                </c:pt>
                <c:pt idx="46">
                  <c:v>413.80000000000052</c:v>
                </c:pt>
                <c:pt idx="47">
                  <c:v>414.10000000000053</c:v>
                </c:pt>
                <c:pt idx="48">
                  <c:v>414.40000000000055</c:v>
                </c:pt>
                <c:pt idx="49">
                  <c:v>414.70000000000056</c:v>
                </c:pt>
                <c:pt idx="50">
                  <c:v>415.00000000000057</c:v>
                </c:pt>
                <c:pt idx="51">
                  <c:v>415.30000000000058</c:v>
                </c:pt>
                <c:pt idx="52">
                  <c:v>415.60000000000059</c:v>
                </c:pt>
                <c:pt idx="53">
                  <c:v>415.9000000000006</c:v>
                </c:pt>
                <c:pt idx="54">
                  <c:v>416.20000000000061</c:v>
                </c:pt>
                <c:pt idx="55">
                  <c:v>416.50000000000063</c:v>
                </c:pt>
                <c:pt idx="56">
                  <c:v>416.80000000000064</c:v>
                </c:pt>
                <c:pt idx="57">
                  <c:v>417.10000000000065</c:v>
                </c:pt>
                <c:pt idx="58">
                  <c:v>417.40000000000066</c:v>
                </c:pt>
                <c:pt idx="59">
                  <c:v>417.70000000000067</c:v>
                </c:pt>
                <c:pt idx="60">
                  <c:v>418.00000000000068</c:v>
                </c:pt>
                <c:pt idx="61">
                  <c:v>418.30000000000069</c:v>
                </c:pt>
                <c:pt idx="62">
                  <c:v>418.6000000000007</c:v>
                </c:pt>
                <c:pt idx="63">
                  <c:v>418.90000000000072</c:v>
                </c:pt>
                <c:pt idx="64">
                  <c:v>419.20000000000073</c:v>
                </c:pt>
                <c:pt idx="65">
                  <c:v>419.50000000000074</c:v>
                </c:pt>
                <c:pt idx="66">
                  <c:v>419.80000000000075</c:v>
                </c:pt>
                <c:pt idx="67">
                  <c:v>420.10000000000076</c:v>
                </c:pt>
                <c:pt idx="68">
                  <c:v>420.40000000000077</c:v>
                </c:pt>
                <c:pt idx="69">
                  <c:v>420.70000000000078</c:v>
                </c:pt>
                <c:pt idx="70">
                  <c:v>421.0000000000008</c:v>
                </c:pt>
                <c:pt idx="71">
                  <c:v>421.30000000000081</c:v>
                </c:pt>
                <c:pt idx="72">
                  <c:v>421.60000000000082</c:v>
                </c:pt>
                <c:pt idx="73">
                  <c:v>421.90000000000083</c:v>
                </c:pt>
                <c:pt idx="74">
                  <c:v>422.20000000000084</c:v>
                </c:pt>
                <c:pt idx="75">
                  <c:v>422.50000000000085</c:v>
                </c:pt>
                <c:pt idx="76">
                  <c:v>422.80000000000086</c:v>
                </c:pt>
                <c:pt idx="77">
                  <c:v>423.10000000000088</c:v>
                </c:pt>
                <c:pt idx="78">
                  <c:v>423.40000000000089</c:v>
                </c:pt>
                <c:pt idx="79">
                  <c:v>423.7000000000009</c:v>
                </c:pt>
                <c:pt idx="80">
                  <c:v>424.00000000000091</c:v>
                </c:pt>
                <c:pt idx="81">
                  <c:v>424.30000000000092</c:v>
                </c:pt>
                <c:pt idx="82">
                  <c:v>424.60000000000093</c:v>
                </c:pt>
                <c:pt idx="83">
                  <c:v>424.90000000000094</c:v>
                </c:pt>
                <c:pt idx="84">
                  <c:v>425.20000000000095</c:v>
                </c:pt>
                <c:pt idx="85">
                  <c:v>425.50000000000097</c:v>
                </c:pt>
                <c:pt idx="86">
                  <c:v>425.80000000000098</c:v>
                </c:pt>
                <c:pt idx="87">
                  <c:v>426.10000000000099</c:v>
                </c:pt>
                <c:pt idx="88">
                  <c:v>426.400000000001</c:v>
                </c:pt>
                <c:pt idx="89">
                  <c:v>426.70000000000101</c:v>
                </c:pt>
                <c:pt idx="90">
                  <c:v>427.00000000000102</c:v>
                </c:pt>
                <c:pt idx="91">
                  <c:v>427.30000000000103</c:v>
                </c:pt>
                <c:pt idx="92">
                  <c:v>427.60000000000105</c:v>
                </c:pt>
                <c:pt idx="93">
                  <c:v>427.90000000000106</c:v>
                </c:pt>
                <c:pt idx="94">
                  <c:v>428.20000000000107</c:v>
                </c:pt>
                <c:pt idx="95">
                  <c:v>428.50000000000108</c:v>
                </c:pt>
                <c:pt idx="96">
                  <c:v>428.80000000000109</c:v>
                </c:pt>
                <c:pt idx="97">
                  <c:v>429.1000000000011</c:v>
                </c:pt>
                <c:pt idx="98">
                  <c:v>429.40000000000111</c:v>
                </c:pt>
                <c:pt idx="99">
                  <c:v>429.70000000000113</c:v>
                </c:pt>
                <c:pt idx="100">
                  <c:v>430.00000000000114</c:v>
                </c:pt>
              </c:numCache>
            </c:numRef>
          </c:cat>
          <c:val>
            <c:numRef>
              <c:f>donnees!$K$16:$K$116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FC-4F74-A66B-49DCC8175697}"/>
            </c:ext>
          </c:extLst>
        </c:ser>
        <c:ser>
          <c:idx val="9"/>
          <c:order val="9"/>
          <c:tx>
            <c:strRef>
              <c:f>donnees!$L$15</c:f>
              <c:strCache>
                <c:ptCount val="1"/>
                <c:pt idx="0">
                  <c:v>P&amp;L Leg 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donnees!$B$16:$B$116</c:f>
              <c:numCache>
                <c:formatCode>General</c:formatCode>
                <c:ptCount val="101"/>
                <c:pt idx="0">
                  <c:v>400</c:v>
                </c:pt>
                <c:pt idx="1">
                  <c:v>400.3</c:v>
                </c:pt>
                <c:pt idx="2">
                  <c:v>400.6</c:v>
                </c:pt>
                <c:pt idx="3">
                  <c:v>400.90000000000003</c:v>
                </c:pt>
                <c:pt idx="4">
                  <c:v>401.20000000000005</c:v>
                </c:pt>
                <c:pt idx="5">
                  <c:v>401.50000000000006</c:v>
                </c:pt>
                <c:pt idx="6">
                  <c:v>401.80000000000007</c:v>
                </c:pt>
                <c:pt idx="7">
                  <c:v>402.10000000000008</c:v>
                </c:pt>
                <c:pt idx="8">
                  <c:v>402.40000000000009</c:v>
                </c:pt>
                <c:pt idx="9">
                  <c:v>402.7000000000001</c:v>
                </c:pt>
                <c:pt idx="10">
                  <c:v>403.00000000000011</c:v>
                </c:pt>
                <c:pt idx="11">
                  <c:v>403.30000000000013</c:v>
                </c:pt>
                <c:pt idx="12">
                  <c:v>403.60000000000014</c:v>
                </c:pt>
                <c:pt idx="13">
                  <c:v>403.90000000000015</c:v>
                </c:pt>
                <c:pt idx="14">
                  <c:v>404.20000000000016</c:v>
                </c:pt>
                <c:pt idx="15">
                  <c:v>404.50000000000017</c:v>
                </c:pt>
                <c:pt idx="16">
                  <c:v>404.80000000000018</c:v>
                </c:pt>
                <c:pt idx="17">
                  <c:v>405.10000000000019</c:v>
                </c:pt>
                <c:pt idx="18">
                  <c:v>405.4000000000002</c:v>
                </c:pt>
                <c:pt idx="19">
                  <c:v>405.70000000000022</c:v>
                </c:pt>
                <c:pt idx="20">
                  <c:v>406.00000000000023</c:v>
                </c:pt>
                <c:pt idx="21">
                  <c:v>406.30000000000024</c:v>
                </c:pt>
                <c:pt idx="22">
                  <c:v>406.60000000000025</c:v>
                </c:pt>
                <c:pt idx="23">
                  <c:v>406.90000000000026</c:v>
                </c:pt>
                <c:pt idx="24">
                  <c:v>407.20000000000027</c:v>
                </c:pt>
                <c:pt idx="25">
                  <c:v>407.50000000000028</c:v>
                </c:pt>
                <c:pt idx="26">
                  <c:v>407.8000000000003</c:v>
                </c:pt>
                <c:pt idx="27">
                  <c:v>408.10000000000031</c:v>
                </c:pt>
                <c:pt idx="28">
                  <c:v>408.40000000000032</c:v>
                </c:pt>
                <c:pt idx="29">
                  <c:v>408.70000000000033</c:v>
                </c:pt>
                <c:pt idx="30">
                  <c:v>409.00000000000034</c:v>
                </c:pt>
                <c:pt idx="31">
                  <c:v>409.30000000000035</c:v>
                </c:pt>
                <c:pt idx="32">
                  <c:v>409.60000000000036</c:v>
                </c:pt>
                <c:pt idx="33">
                  <c:v>409.90000000000038</c:v>
                </c:pt>
                <c:pt idx="34">
                  <c:v>410.20000000000039</c:v>
                </c:pt>
                <c:pt idx="35">
                  <c:v>410.5000000000004</c:v>
                </c:pt>
                <c:pt idx="36">
                  <c:v>410.80000000000041</c:v>
                </c:pt>
                <c:pt idx="37">
                  <c:v>411.10000000000042</c:v>
                </c:pt>
                <c:pt idx="38">
                  <c:v>411.40000000000043</c:v>
                </c:pt>
                <c:pt idx="39">
                  <c:v>411.70000000000044</c:v>
                </c:pt>
                <c:pt idx="40">
                  <c:v>412.00000000000045</c:v>
                </c:pt>
                <c:pt idx="41">
                  <c:v>412.30000000000047</c:v>
                </c:pt>
                <c:pt idx="42">
                  <c:v>412.60000000000048</c:v>
                </c:pt>
                <c:pt idx="43">
                  <c:v>412.90000000000049</c:v>
                </c:pt>
                <c:pt idx="44">
                  <c:v>413.2000000000005</c:v>
                </c:pt>
                <c:pt idx="45">
                  <c:v>413.50000000000051</c:v>
                </c:pt>
                <c:pt idx="46">
                  <c:v>413.80000000000052</c:v>
                </c:pt>
                <c:pt idx="47">
                  <c:v>414.10000000000053</c:v>
                </c:pt>
                <c:pt idx="48">
                  <c:v>414.40000000000055</c:v>
                </c:pt>
                <c:pt idx="49">
                  <c:v>414.70000000000056</c:v>
                </c:pt>
                <c:pt idx="50">
                  <c:v>415.00000000000057</c:v>
                </c:pt>
                <c:pt idx="51">
                  <c:v>415.30000000000058</c:v>
                </c:pt>
                <c:pt idx="52">
                  <c:v>415.60000000000059</c:v>
                </c:pt>
                <c:pt idx="53">
                  <c:v>415.9000000000006</c:v>
                </c:pt>
                <c:pt idx="54">
                  <c:v>416.20000000000061</c:v>
                </c:pt>
                <c:pt idx="55">
                  <c:v>416.50000000000063</c:v>
                </c:pt>
                <c:pt idx="56">
                  <c:v>416.80000000000064</c:v>
                </c:pt>
                <c:pt idx="57">
                  <c:v>417.10000000000065</c:v>
                </c:pt>
                <c:pt idx="58">
                  <c:v>417.40000000000066</c:v>
                </c:pt>
                <c:pt idx="59">
                  <c:v>417.70000000000067</c:v>
                </c:pt>
                <c:pt idx="60">
                  <c:v>418.00000000000068</c:v>
                </c:pt>
                <c:pt idx="61">
                  <c:v>418.30000000000069</c:v>
                </c:pt>
                <c:pt idx="62">
                  <c:v>418.6000000000007</c:v>
                </c:pt>
                <c:pt idx="63">
                  <c:v>418.90000000000072</c:v>
                </c:pt>
                <c:pt idx="64">
                  <c:v>419.20000000000073</c:v>
                </c:pt>
                <c:pt idx="65">
                  <c:v>419.50000000000074</c:v>
                </c:pt>
                <c:pt idx="66">
                  <c:v>419.80000000000075</c:v>
                </c:pt>
                <c:pt idx="67">
                  <c:v>420.10000000000076</c:v>
                </c:pt>
                <c:pt idx="68">
                  <c:v>420.40000000000077</c:v>
                </c:pt>
                <c:pt idx="69">
                  <c:v>420.70000000000078</c:v>
                </c:pt>
                <c:pt idx="70">
                  <c:v>421.0000000000008</c:v>
                </c:pt>
                <c:pt idx="71">
                  <c:v>421.30000000000081</c:v>
                </c:pt>
                <c:pt idx="72">
                  <c:v>421.60000000000082</c:v>
                </c:pt>
                <c:pt idx="73">
                  <c:v>421.90000000000083</c:v>
                </c:pt>
                <c:pt idx="74">
                  <c:v>422.20000000000084</c:v>
                </c:pt>
                <c:pt idx="75">
                  <c:v>422.50000000000085</c:v>
                </c:pt>
                <c:pt idx="76">
                  <c:v>422.80000000000086</c:v>
                </c:pt>
                <c:pt idx="77">
                  <c:v>423.10000000000088</c:v>
                </c:pt>
                <c:pt idx="78">
                  <c:v>423.40000000000089</c:v>
                </c:pt>
                <c:pt idx="79">
                  <c:v>423.7000000000009</c:v>
                </c:pt>
                <c:pt idx="80">
                  <c:v>424.00000000000091</c:v>
                </c:pt>
                <c:pt idx="81">
                  <c:v>424.30000000000092</c:v>
                </c:pt>
                <c:pt idx="82">
                  <c:v>424.60000000000093</c:v>
                </c:pt>
                <c:pt idx="83">
                  <c:v>424.90000000000094</c:v>
                </c:pt>
                <c:pt idx="84">
                  <c:v>425.20000000000095</c:v>
                </c:pt>
                <c:pt idx="85">
                  <c:v>425.50000000000097</c:v>
                </c:pt>
                <c:pt idx="86">
                  <c:v>425.80000000000098</c:v>
                </c:pt>
                <c:pt idx="87">
                  <c:v>426.10000000000099</c:v>
                </c:pt>
                <c:pt idx="88">
                  <c:v>426.400000000001</c:v>
                </c:pt>
                <c:pt idx="89">
                  <c:v>426.70000000000101</c:v>
                </c:pt>
                <c:pt idx="90">
                  <c:v>427.00000000000102</c:v>
                </c:pt>
                <c:pt idx="91">
                  <c:v>427.30000000000103</c:v>
                </c:pt>
                <c:pt idx="92">
                  <c:v>427.60000000000105</c:v>
                </c:pt>
                <c:pt idx="93">
                  <c:v>427.90000000000106</c:v>
                </c:pt>
                <c:pt idx="94">
                  <c:v>428.20000000000107</c:v>
                </c:pt>
                <c:pt idx="95">
                  <c:v>428.50000000000108</c:v>
                </c:pt>
                <c:pt idx="96">
                  <c:v>428.80000000000109</c:v>
                </c:pt>
                <c:pt idx="97">
                  <c:v>429.1000000000011</c:v>
                </c:pt>
                <c:pt idx="98">
                  <c:v>429.40000000000111</c:v>
                </c:pt>
                <c:pt idx="99">
                  <c:v>429.70000000000113</c:v>
                </c:pt>
                <c:pt idx="100">
                  <c:v>430.00000000000114</c:v>
                </c:pt>
              </c:numCache>
            </c:numRef>
          </c:cat>
          <c:val>
            <c:numRef>
              <c:f>donnees!$L$16:$L$116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FC-4F74-A66B-49DCC8175697}"/>
            </c:ext>
          </c:extLst>
        </c:ser>
        <c:ser>
          <c:idx val="10"/>
          <c:order val="10"/>
          <c:tx>
            <c:strRef>
              <c:f>donnees!$M$15</c:f>
              <c:strCache>
                <c:ptCount val="1"/>
                <c:pt idx="0">
                  <c:v>P&amp;L Leg 9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donnees!$B$16:$B$116</c:f>
              <c:numCache>
                <c:formatCode>General</c:formatCode>
                <c:ptCount val="101"/>
                <c:pt idx="0">
                  <c:v>400</c:v>
                </c:pt>
                <c:pt idx="1">
                  <c:v>400.3</c:v>
                </c:pt>
                <c:pt idx="2">
                  <c:v>400.6</c:v>
                </c:pt>
                <c:pt idx="3">
                  <c:v>400.90000000000003</c:v>
                </c:pt>
                <c:pt idx="4">
                  <c:v>401.20000000000005</c:v>
                </c:pt>
                <c:pt idx="5">
                  <c:v>401.50000000000006</c:v>
                </c:pt>
                <c:pt idx="6">
                  <c:v>401.80000000000007</c:v>
                </c:pt>
                <c:pt idx="7">
                  <c:v>402.10000000000008</c:v>
                </c:pt>
                <c:pt idx="8">
                  <c:v>402.40000000000009</c:v>
                </c:pt>
                <c:pt idx="9">
                  <c:v>402.7000000000001</c:v>
                </c:pt>
                <c:pt idx="10">
                  <c:v>403.00000000000011</c:v>
                </c:pt>
                <c:pt idx="11">
                  <c:v>403.30000000000013</c:v>
                </c:pt>
                <c:pt idx="12">
                  <c:v>403.60000000000014</c:v>
                </c:pt>
                <c:pt idx="13">
                  <c:v>403.90000000000015</c:v>
                </c:pt>
                <c:pt idx="14">
                  <c:v>404.20000000000016</c:v>
                </c:pt>
                <c:pt idx="15">
                  <c:v>404.50000000000017</c:v>
                </c:pt>
                <c:pt idx="16">
                  <c:v>404.80000000000018</c:v>
                </c:pt>
                <c:pt idx="17">
                  <c:v>405.10000000000019</c:v>
                </c:pt>
                <c:pt idx="18">
                  <c:v>405.4000000000002</c:v>
                </c:pt>
                <c:pt idx="19">
                  <c:v>405.70000000000022</c:v>
                </c:pt>
                <c:pt idx="20">
                  <c:v>406.00000000000023</c:v>
                </c:pt>
                <c:pt idx="21">
                  <c:v>406.30000000000024</c:v>
                </c:pt>
                <c:pt idx="22">
                  <c:v>406.60000000000025</c:v>
                </c:pt>
                <c:pt idx="23">
                  <c:v>406.90000000000026</c:v>
                </c:pt>
                <c:pt idx="24">
                  <c:v>407.20000000000027</c:v>
                </c:pt>
                <c:pt idx="25">
                  <c:v>407.50000000000028</c:v>
                </c:pt>
                <c:pt idx="26">
                  <c:v>407.8000000000003</c:v>
                </c:pt>
                <c:pt idx="27">
                  <c:v>408.10000000000031</c:v>
                </c:pt>
                <c:pt idx="28">
                  <c:v>408.40000000000032</c:v>
                </c:pt>
                <c:pt idx="29">
                  <c:v>408.70000000000033</c:v>
                </c:pt>
                <c:pt idx="30">
                  <c:v>409.00000000000034</c:v>
                </c:pt>
                <c:pt idx="31">
                  <c:v>409.30000000000035</c:v>
                </c:pt>
                <c:pt idx="32">
                  <c:v>409.60000000000036</c:v>
                </c:pt>
                <c:pt idx="33">
                  <c:v>409.90000000000038</c:v>
                </c:pt>
                <c:pt idx="34">
                  <c:v>410.20000000000039</c:v>
                </c:pt>
                <c:pt idx="35">
                  <c:v>410.5000000000004</c:v>
                </c:pt>
                <c:pt idx="36">
                  <c:v>410.80000000000041</c:v>
                </c:pt>
                <c:pt idx="37">
                  <c:v>411.10000000000042</c:v>
                </c:pt>
                <c:pt idx="38">
                  <c:v>411.40000000000043</c:v>
                </c:pt>
                <c:pt idx="39">
                  <c:v>411.70000000000044</c:v>
                </c:pt>
                <c:pt idx="40">
                  <c:v>412.00000000000045</c:v>
                </c:pt>
                <c:pt idx="41">
                  <c:v>412.30000000000047</c:v>
                </c:pt>
                <c:pt idx="42">
                  <c:v>412.60000000000048</c:v>
                </c:pt>
                <c:pt idx="43">
                  <c:v>412.90000000000049</c:v>
                </c:pt>
                <c:pt idx="44">
                  <c:v>413.2000000000005</c:v>
                </c:pt>
                <c:pt idx="45">
                  <c:v>413.50000000000051</c:v>
                </c:pt>
                <c:pt idx="46">
                  <c:v>413.80000000000052</c:v>
                </c:pt>
                <c:pt idx="47">
                  <c:v>414.10000000000053</c:v>
                </c:pt>
                <c:pt idx="48">
                  <c:v>414.40000000000055</c:v>
                </c:pt>
                <c:pt idx="49">
                  <c:v>414.70000000000056</c:v>
                </c:pt>
                <c:pt idx="50">
                  <c:v>415.00000000000057</c:v>
                </c:pt>
                <c:pt idx="51">
                  <c:v>415.30000000000058</c:v>
                </c:pt>
                <c:pt idx="52">
                  <c:v>415.60000000000059</c:v>
                </c:pt>
                <c:pt idx="53">
                  <c:v>415.9000000000006</c:v>
                </c:pt>
                <c:pt idx="54">
                  <c:v>416.20000000000061</c:v>
                </c:pt>
                <c:pt idx="55">
                  <c:v>416.50000000000063</c:v>
                </c:pt>
                <c:pt idx="56">
                  <c:v>416.80000000000064</c:v>
                </c:pt>
                <c:pt idx="57">
                  <c:v>417.10000000000065</c:v>
                </c:pt>
                <c:pt idx="58">
                  <c:v>417.40000000000066</c:v>
                </c:pt>
                <c:pt idx="59">
                  <c:v>417.70000000000067</c:v>
                </c:pt>
                <c:pt idx="60">
                  <c:v>418.00000000000068</c:v>
                </c:pt>
                <c:pt idx="61">
                  <c:v>418.30000000000069</c:v>
                </c:pt>
                <c:pt idx="62">
                  <c:v>418.6000000000007</c:v>
                </c:pt>
                <c:pt idx="63">
                  <c:v>418.90000000000072</c:v>
                </c:pt>
                <c:pt idx="64">
                  <c:v>419.20000000000073</c:v>
                </c:pt>
                <c:pt idx="65">
                  <c:v>419.50000000000074</c:v>
                </c:pt>
                <c:pt idx="66">
                  <c:v>419.80000000000075</c:v>
                </c:pt>
                <c:pt idx="67">
                  <c:v>420.10000000000076</c:v>
                </c:pt>
                <c:pt idx="68">
                  <c:v>420.40000000000077</c:v>
                </c:pt>
                <c:pt idx="69">
                  <c:v>420.70000000000078</c:v>
                </c:pt>
                <c:pt idx="70">
                  <c:v>421.0000000000008</c:v>
                </c:pt>
                <c:pt idx="71">
                  <c:v>421.30000000000081</c:v>
                </c:pt>
                <c:pt idx="72">
                  <c:v>421.60000000000082</c:v>
                </c:pt>
                <c:pt idx="73">
                  <c:v>421.90000000000083</c:v>
                </c:pt>
                <c:pt idx="74">
                  <c:v>422.20000000000084</c:v>
                </c:pt>
                <c:pt idx="75">
                  <c:v>422.50000000000085</c:v>
                </c:pt>
                <c:pt idx="76">
                  <c:v>422.80000000000086</c:v>
                </c:pt>
                <c:pt idx="77">
                  <c:v>423.10000000000088</c:v>
                </c:pt>
                <c:pt idx="78">
                  <c:v>423.40000000000089</c:v>
                </c:pt>
                <c:pt idx="79">
                  <c:v>423.7000000000009</c:v>
                </c:pt>
                <c:pt idx="80">
                  <c:v>424.00000000000091</c:v>
                </c:pt>
                <c:pt idx="81">
                  <c:v>424.30000000000092</c:v>
                </c:pt>
                <c:pt idx="82">
                  <c:v>424.60000000000093</c:v>
                </c:pt>
                <c:pt idx="83">
                  <c:v>424.90000000000094</c:v>
                </c:pt>
                <c:pt idx="84">
                  <c:v>425.20000000000095</c:v>
                </c:pt>
                <c:pt idx="85">
                  <c:v>425.50000000000097</c:v>
                </c:pt>
                <c:pt idx="86">
                  <c:v>425.80000000000098</c:v>
                </c:pt>
                <c:pt idx="87">
                  <c:v>426.10000000000099</c:v>
                </c:pt>
                <c:pt idx="88">
                  <c:v>426.400000000001</c:v>
                </c:pt>
                <c:pt idx="89">
                  <c:v>426.70000000000101</c:v>
                </c:pt>
                <c:pt idx="90">
                  <c:v>427.00000000000102</c:v>
                </c:pt>
                <c:pt idx="91">
                  <c:v>427.30000000000103</c:v>
                </c:pt>
                <c:pt idx="92">
                  <c:v>427.60000000000105</c:v>
                </c:pt>
                <c:pt idx="93">
                  <c:v>427.90000000000106</c:v>
                </c:pt>
                <c:pt idx="94">
                  <c:v>428.20000000000107</c:v>
                </c:pt>
                <c:pt idx="95">
                  <c:v>428.50000000000108</c:v>
                </c:pt>
                <c:pt idx="96">
                  <c:v>428.80000000000109</c:v>
                </c:pt>
                <c:pt idx="97">
                  <c:v>429.1000000000011</c:v>
                </c:pt>
                <c:pt idx="98">
                  <c:v>429.40000000000111</c:v>
                </c:pt>
                <c:pt idx="99">
                  <c:v>429.70000000000113</c:v>
                </c:pt>
                <c:pt idx="100">
                  <c:v>430.00000000000114</c:v>
                </c:pt>
              </c:numCache>
            </c:numRef>
          </c:cat>
          <c:val>
            <c:numRef>
              <c:f>donnees!$M$16:$M$116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FC-4F74-A66B-49DCC8175697}"/>
            </c:ext>
          </c:extLst>
        </c:ser>
        <c:ser>
          <c:idx val="11"/>
          <c:order val="11"/>
          <c:tx>
            <c:strRef>
              <c:f>donnees!$N$15</c:f>
              <c:strCache>
                <c:ptCount val="1"/>
                <c:pt idx="0">
                  <c:v>P&amp;L Leg 10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donnees!$B$16:$B$116</c:f>
              <c:numCache>
                <c:formatCode>General</c:formatCode>
                <c:ptCount val="101"/>
                <c:pt idx="0">
                  <c:v>400</c:v>
                </c:pt>
                <c:pt idx="1">
                  <c:v>400.3</c:v>
                </c:pt>
                <c:pt idx="2">
                  <c:v>400.6</c:v>
                </c:pt>
                <c:pt idx="3">
                  <c:v>400.90000000000003</c:v>
                </c:pt>
                <c:pt idx="4">
                  <c:v>401.20000000000005</c:v>
                </c:pt>
                <c:pt idx="5">
                  <c:v>401.50000000000006</c:v>
                </c:pt>
                <c:pt idx="6">
                  <c:v>401.80000000000007</c:v>
                </c:pt>
                <c:pt idx="7">
                  <c:v>402.10000000000008</c:v>
                </c:pt>
                <c:pt idx="8">
                  <c:v>402.40000000000009</c:v>
                </c:pt>
                <c:pt idx="9">
                  <c:v>402.7000000000001</c:v>
                </c:pt>
                <c:pt idx="10">
                  <c:v>403.00000000000011</c:v>
                </c:pt>
                <c:pt idx="11">
                  <c:v>403.30000000000013</c:v>
                </c:pt>
                <c:pt idx="12">
                  <c:v>403.60000000000014</c:v>
                </c:pt>
                <c:pt idx="13">
                  <c:v>403.90000000000015</c:v>
                </c:pt>
                <c:pt idx="14">
                  <c:v>404.20000000000016</c:v>
                </c:pt>
                <c:pt idx="15">
                  <c:v>404.50000000000017</c:v>
                </c:pt>
                <c:pt idx="16">
                  <c:v>404.80000000000018</c:v>
                </c:pt>
                <c:pt idx="17">
                  <c:v>405.10000000000019</c:v>
                </c:pt>
                <c:pt idx="18">
                  <c:v>405.4000000000002</c:v>
                </c:pt>
                <c:pt idx="19">
                  <c:v>405.70000000000022</c:v>
                </c:pt>
                <c:pt idx="20">
                  <c:v>406.00000000000023</c:v>
                </c:pt>
                <c:pt idx="21">
                  <c:v>406.30000000000024</c:v>
                </c:pt>
                <c:pt idx="22">
                  <c:v>406.60000000000025</c:v>
                </c:pt>
                <c:pt idx="23">
                  <c:v>406.90000000000026</c:v>
                </c:pt>
                <c:pt idx="24">
                  <c:v>407.20000000000027</c:v>
                </c:pt>
                <c:pt idx="25">
                  <c:v>407.50000000000028</c:v>
                </c:pt>
                <c:pt idx="26">
                  <c:v>407.8000000000003</c:v>
                </c:pt>
                <c:pt idx="27">
                  <c:v>408.10000000000031</c:v>
                </c:pt>
                <c:pt idx="28">
                  <c:v>408.40000000000032</c:v>
                </c:pt>
                <c:pt idx="29">
                  <c:v>408.70000000000033</c:v>
                </c:pt>
                <c:pt idx="30">
                  <c:v>409.00000000000034</c:v>
                </c:pt>
                <c:pt idx="31">
                  <c:v>409.30000000000035</c:v>
                </c:pt>
                <c:pt idx="32">
                  <c:v>409.60000000000036</c:v>
                </c:pt>
                <c:pt idx="33">
                  <c:v>409.90000000000038</c:v>
                </c:pt>
                <c:pt idx="34">
                  <c:v>410.20000000000039</c:v>
                </c:pt>
                <c:pt idx="35">
                  <c:v>410.5000000000004</c:v>
                </c:pt>
                <c:pt idx="36">
                  <c:v>410.80000000000041</c:v>
                </c:pt>
                <c:pt idx="37">
                  <c:v>411.10000000000042</c:v>
                </c:pt>
                <c:pt idx="38">
                  <c:v>411.40000000000043</c:v>
                </c:pt>
                <c:pt idx="39">
                  <c:v>411.70000000000044</c:v>
                </c:pt>
                <c:pt idx="40">
                  <c:v>412.00000000000045</c:v>
                </c:pt>
                <c:pt idx="41">
                  <c:v>412.30000000000047</c:v>
                </c:pt>
                <c:pt idx="42">
                  <c:v>412.60000000000048</c:v>
                </c:pt>
                <c:pt idx="43">
                  <c:v>412.90000000000049</c:v>
                </c:pt>
                <c:pt idx="44">
                  <c:v>413.2000000000005</c:v>
                </c:pt>
                <c:pt idx="45">
                  <c:v>413.50000000000051</c:v>
                </c:pt>
                <c:pt idx="46">
                  <c:v>413.80000000000052</c:v>
                </c:pt>
                <c:pt idx="47">
                  <c:v>414.10000000000053</c:v>
                </c:pt>
                <c:pt idx="48">
                  <c:v>414.40000000000055</c:v>
                </c:pt>
                <c:pt idx="49">
                  <c:v>414.70000000000056</c:v>
                </c:pt>
                <c:pt idx="50">
                  <c:v>415.00000000000057</c:v>
                </c:pt>
                <c:pt idx="51">
                  <c:v>415.30000000000058</c:v>
                </c:pt>
                <c:pt idx="52">
                  <c:v>415.60000000000059</c:v>
                </c:pt>
                <c:pt idx="53">
                  <c:v>415.9000000000006</c:v>
                </c:pt>
                <c:pt idx="54">
                  <c:v>416.20000000000061</c:v>
                </c:pt>
                <c:pt idx="55">
                  <c:v>416.50000000000063</c:v>
                </c:pt>
                <c:pt idx="56">
                  <c:v>416.80000000000064</c:v>
                </c:pt>
                <c:pt idx="57">
                  <c:v>417.10000000000065</c:v>
                </c:pt>
                <c:pt idx="58">
                  <c:v>417.40000000000066</c:v>
                </c:pt>
                <c:pt idx="59">
                  <c:v>417.70000000000067</c:v>
                </c:pt>
                <c:pt idx="60">
                  <c:v>418.00000000000068</c:v>
                </c:pt>
                <c:pt idx="61">
                  <c:v>418.30000000000069</c:v>
                </c:pt>
                <c:pt idx="62">
                  <c:v>418.6000000000007</c:v>
                </c:pt>
                <c:pt idx="63">
                  <c:v>418.90000000000072</c:v>
                </c:pt>
                <c:pt idx="64">
                  <c:v>419.20000000000073</c:v>
                </c:pt>
                <c:pt idx="65">
                  <c:v>419.50000000000074</c:v>
                </c:pt>
                <c:pt idx="66">
                  <c:v>419.80000000000075</c:v>
                </c:pt>
                <c:pt idx="67">
                  <c:v>420.10000000000076</c:v>
                </c:pt>
                <c:pt idx="68">
                  <c:v>420.40000000000077</c:v>
                </c:pt>
                <c:pt idx="69">
                  <c:v>420.70000000000078</c:v>
                </c:pt>
                <c:pt idx="70">
                  <c:v>421.0000000000008</c:v>
                </c:pt>
                <c:pt idx="71">
                  <c:v>421.30000000000081</c:v>
                </c:pt>
                <c:pt idx="72">
                  <c:v>421.60000000000082</c:v>
                </c:pt>
                <c:pt idx="73">
                  <c:v>421.90000000000083</c:v>
                </c:pt>
                <c:pt idx="74">
                  <c:v>422.20000000000084</c:v>
                </c:pt>
                <c:pt idx="75">
                  <c:v>422.50000000000085</c:v>
                </c:pt>
                <c:pt idx="76">
                  <c:v>422.80000000000086</c:v>
                </c:pt>
                <c:pt idx="77">
                  <c:v>423.10000000000088</c:v>
                </c:pt>
                <c:pt idx="78">
                  <c:v>423.40000000000089</c:v>
                </c:pt>
                <c:pt idx="79">
                  <c:v>423.7000000000009</c:v>
                </c:pt>
                <c:pt idx="80">
                  <c:v>424.00000000000091</c:v>
                </c:pt>
                <c:pt idx="81">
                  <c:v>424.30000000000092</c:v>
                </c:pt>
                <c:pt idx="82">
                  <c:v>424.60000000000093</c:v>
                </c:pt>
                <c:pt idx="83">
                  <c:v>424.90000000000094</c:v>
                </c:pt>
                <c:pt idx="84">
                  <c:v>425.20000000000095</c:v>
                </c:pt>
                <c:pt idx="85">
                  <c:v>425.50000000000097</c:v>
                </c:pt>
                <c:pt idx="86">
                  <c:v>425.80000000000098</c:v>
                </c:pt>
                <c:pt idx="87">
                  <c:v>426.10000000000099</c:v>
                </c:pt>
                <c:pt idx="88">
                  <c:v>426.400000000001</c:v>
                </c:pt>
                <c:pt idx="89">
                  <c:v>426.70000000000101</c:v>
                </c:pt>
                <c:pt idx="90">
                  <c:v>427.00000000000102</c:v>
                </c:pt>
                <c:pt idx="91">
                  <c:v>427.30000000000103</c:v>
                </c:pt>
                <c:pt idx="92">
                  <c:v>427.60000000000105</c:v>
                </c:pt>
                <c:pt idx="93">
                  <c:v>427.90000000000106</c:v>
                </c:pt>
                <c:pt idx="94">
                  <c:v>428.20000000000107</c:v>
                </c:pt>
                <c:pt idx="95">
                  <c:v>428.50000000000108</c:v>
                </c:pt>
                <c:pt idx="96">
                  <c:v>428.80000000000109</c:v>
                </c:pt>
                <c:pt idx="97">
                  <c:v>429.1000000000011</c:v>
                </c:pt>
                <c:pt idx="98">
                  <c:v>429.40000000000111</c:v>
                </c:pt>
                <c:pt idx="99">
                  <c:v>429.70000000000113</c:v>
                </c:pt>
                <c:pt idx="100">
                  <c:v>430.00000000000114</c:v>
                </c:pt>
              </c:numCache>
            </c:numRef>
          </c:cat>
          <c:val>
            <c:numRef>
              <c:f>donnees!$N$16:$N$116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FC-4F74-A66B-49DCC8175697}"/>
            </c:ext>
          </c:extLst>
        </c:ser>
        <c:ser>
          <c:idx val="12"/>
          <c:order val="12"/>
          <c:tx>
            <c:strRef>
              <c:f>donnees!$O$15</c:f>
              <c:strCache>
                <c:ptCount val="1"/>
                <c:pt idx="0">
                  <c:v>P&amp;L Leg 11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donnees!$B$16:$B$116</c:f>
              <c:numCache>
                <c:formatCode>General</c:formatCode>
                <c:ptCount val="101"/>
                <c:pt idx="0">
                  <c:v>400</c:v>
                </c:pt>
                <c:pt idx="1">
                  <c:v>400.3</c:v>
                </c:pt>
                <c:pt idx="2">
                  <c:v>400.6</c:v>
                </c:pt>
                <c:pt idx="3">
                  <c:v>400.90000000000003</c:v>
                </c:pt>
                <c:pt idx="4">
                  <c:v>401.20000000000005</c:v>
                </c:pt>
                <c:pt idx="5">
                  <c:v>401.50000000000006</c:v>
                </c:pt>
                <c:pt idx="6">
                  <c:v>401.80000000000007</c:v>
                </c:pt>
                <c:pt idx="7">
                  <c:v>402.10000000000008</c:v>
                </c:pt>
                <c:pt idx="8">
                  <c:v>402.40000000000009</c:v>
                </c:pt>
                <c:pt idx="9">
                  <c:v>402.7000000000001</c:v>
                </c:pt>
                <c:pt idx="10">
                  <c:v>403.00000000000011</c:v>
                </c:pt>
                <c:pt idx="11">
                  <c:v>403.30000000000013</c:v>
                </c:pt>
                <c:pt idx="12">
                  <c:v>403.60000000000014</c:v>
                </c:pt>
                <c:pt idx="13">
                  <c:v>403.90000000000015</c:v>
                </c:pt>
                <c:pt idx="14">
                  <c:v>404.20000000000016</c:v>
                </c:pt>
                <c:pt idx="15">
                  <c:v>404.50000000000017</c:v>
                </c:pt>
                <c:pt idx="16">
                  <c:v>404.80000000000018</c:v>
                </c:pt>
                <c:pt idx="17">
                  <c:v>405.10000000000019</c:v>
                </c:pt>
                <c:pt idx="18">
                  <c:v>405.4000000000002</c:v>
                </c:pt>
                <c:pt idx="19">
                  <c:v>405.70000000000022</c:v>
                </c:pt>
                <c:pt idx="20">
                  <c:v>406.00000000000023</c:v>
                </c:pt>
                <c:pt idx="21">
                  <c:v>406.30000000000024</c:v>
                </c:pt>
                <c:pt idx="22">
                  <c:v>406.60000000000025</c:v>
                </c:pt>
                <c:pt idx="23">
                  <c:v>406.90000000000026</c:v>
                </c:pt>
                <c:pt idx="24">
                  <c:v>407.20000000000027</c:v>
                </c:pt>
                <c:pt idx="25">
                  <c:v>407.50000000000028</c:v>
                </c:pt>
                <c:pt idx="26">
                  <c:v>407.8000000000003</c:v>
                </c:pt>
                <c:pt idx="27">
                  <c:v>408.10000000000031</c:v>
                </c:pt>
                <c:pt idx="28">
                  <c:v>408.40000000000032</c:v>
                </c:pt>
                <c:pt idx="29">
                  <c:v>408.70000000000033</c:v>
                </c:pt>
                <c:pt idx="30">
                  <c:v>409.00000000000034</c:v>
                </c:pt>
                <c:pt idx="31">
                  <c:v>409.30000000000035</c:v>
                </c:pt>
                <c:pt idx="32">
                  <c:v>409.60000000000036</c:v>
                </c:pt>
                <c:pt idx="33">
                  <c:v>409.90000000000038</c:v>
                </c:pt>
                <c:pt idx="34">
                  <c:v>410.20000000000039</c:v>
                </c:pt>
                <c:pt idx="35">
                  <c:v>410.5000000000004</c:v>
                </c:pt>
                <c:pt idx="36">
                  <c:v>410.80000000000041</c:v>
                </c:pt>
                <c:pt idx="37">
                  <c:v>411.10000000000042</c:v>
                </c:pt>
                <c:pt idx="38">
                  <c:v>411.40000000000043</c:v>
                </c:pt>
                <c:pt idx="39">
                  <c:v>411.70000000000044</c:v>
                </c:pt>
                <c:pt idx="40">
                  <c:v>412.00000000000045</c:v>
                </c:pt>
                <c:pt idx="41">
                  <c:v>412.30000000000047</c:v>
                </c:pt>
                <c:pt idx="42">
                  <c:v>412.60000000000048</c:v>
                </c:pt>
                <c:pt idx="43">
                  <c:v>412.90000000000049</c:v>
                </c:pt>
                <c:pt idx="44">
                  <c:v>413.2000000000005</c:v>
                </c:pt>
                <c:pt idx="45">
                  <c:v>413.50000000000051</c:v>
                </c:pt>
                <c:pt idx="46">
                  <c:v>413.80000000000052</c:v>
                </c:pt>
                <c:pt idx="47">
                  <c:v>414.10000000000053</c:v>
                </c:pt>
                <c:pt idx="48">
                  <c:v>414.40000000000055</c:v>
                </c:pt>
                <c:pt idx="49">
                  <c:v>414.70000000000056</c:v>
                </c:pt>
                <c:pt idx="50">
                  <c:v>415.00000000000057</c:v>
                </c:pt>
                <c:pt idx="51">
                  <c:v>415.30000000000058</c:v>
                </c:pt>
                <c:pt idx="52">
                  <c:v>415.60000000000059</c:v>
                </c:pt>
                <c:pt idx="53">
                  <c:v>415.9000000000006</c:v>
                </c:pt>
                <c:pt idx="54">
                  <c:v>416.20000000000061</c:v>
                </c:pt>
                <c:pt idx="55">
                  <c:v>416.50000000000063</c:v>
                </c:pt>
                <c:pt idx="56">
                  <c:v>416.80000000000064</c:v>
                </c:pt>
                <c:pt idx="57">
                  <c:v>417.10000000000065</c:v>
                </c:pt>
                <c:pt idx="58">
                  <c:v>417.40000000000066</c:v>
                </c:pt>
                <c:pt idx="59">
                  <c:v>417.70000000000067</c:v>
                </c:pt>
                <c:pt idx="60">
                  <c:v>418.00000000000068</c:v>
                </c:pt>
                <c:pt idx="61">
                  <c:v>418.30000000000069</c:v>
                </c:pt>
                <c:pt idx="62">
                  <c:v>418.6000000000007</c:v>
                </c:pt>
                <c:pt idx="63">
                  <c:v>418.90000000000072</c:v>
                </c:pt>
                <c:pt idx="64">
                  <c:v>419.20000000000073</c:v>
                </c:pt>
                <c:pt idx="65">
                  <c:v>419.50000000000074</c:v>
                </c:pt>
                <c:pt idx="66">
                  <c:v>419.80000000000075</c:v>
                </c:pt>
                <c:pt idx="67">
                  <c:v>420.10000000000076</c:v>
                </c:pt>
                <c:pt idx="68">
                  <c:v>420.40000000000077</c:v>
                </c:pt>
                <c:pt idx="69">
                  <c:v>420.70000000000078</c:v>
                </c:pt>
                <c:pt idx="70">
                  <c:v>421.0000000000008</c:v>
                </c:pt>
                <c:pt idx="71">
                  <c:v>421.30000000000081</c:v>
                </c:pt>
                <c:pt idx="72">
                  <c:v>421.60000000000082</c:v>
                </c:pt>
                <c:pt idx="73">
                  <c:v>421.90000000000083</c:v>
                </c:pt>
                <c:pt idx="74">
                  <c:v>422.20000000000084</c:v>
                </c:pt>
                <c:pt idx="75">
                  <c:v>422.50000000000085</c:v>
                </c:pt>
                <c:pt idx="76">
                  <c:v>422.80000000000086</c:v>
                </c:pt>
                <c:pt idx="77">
                  <c:v>423.10000000000088</c:v>
                </c:pt>
                <c:pt idx="78">
                  <c:v>423.40000000000089</c:v>
                </c:pt>
                <c:pt idx="79">
                  <c:v>423.7000000000009</c:v>
                </c:pt>
                <c:pt idx="80">
                  <c:v>424.00000000000091</c:v>
                </c:pt>
                <c:pt idx="81">
                  <c:v>424.30000000000092</c:v>
                </c:pt>
                <c:pt idx="82">
                  <c:v>424.60000000000093</c:v>
                </c:pt>
                <c:pt idx="83">
                  <c:v>424.90000000000094</c:v>
                </c:pt>
                <c:pt idx="84">
                  <c:v>425.20000000000095</c:v>
                </c:pt>
                <c:pt idx="85">
                  <c:v>425.50000000000097</c:v>
                </c:pt>
                <c:pt idx="86">
                  <c:v>425.80000000000098</c:v>
                </c:pt>
                <c:pt idx="87">
                  <c:v>426.10000000000099</c:v>
                </c:pt>
                <c:pt idx="88">
                  <c:v>426.400000000001</c:v>
                </c:pt>
                <c:pt idx="89">
                  <c:v>426.70000000000101</c:v>
                </c:pt>
                <c:pt idx="90">
                  <c:v>427.00000000000102</c:v>
                </c:pt>
                <c:pt idx="91">
                  <c:v>427.30000000000103</c:v>
                </c:pt>
                <c:pt idx="92">
                  <c:v>427.60000000000105</c:v>
                </c:pt>
                <c:pt idx="93">
                  <c:v>427.90000000000106</c:v>
                </c:pt>
                <c:pt idx="94">
                  <c:v>428.20000000000107</c:v>
                </c:pt>
                <c:pt idx="95">
                  <c:v>428.50000000000108</c:v>
                </c:pt>
                <c:pt idx="96">
                  <c:v>428.80000000000109</c:v>
                </c:pt>
                <c:pt idx="97">
                  <c:v>429.1000000000011</c:v>
                </c:pt>
                <c:pt idx="98">
                  <c:v>429.40000000000111</c:v>
                </c:pt>
                <c:pt idx="99">
                  <c:v>429.70000000000113</c:v>
                </c:pt>
                <c:pt idx="100">
                  <c:v>430.00000000000114</c:v>
                </c:pt>
              </c:numCache>
            </c:numRef>
          </c:cat>
          <c:val>
            <c:numRef>
              <c:f>donnees!$O$16:$O$116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FC-4F74-A66B-49DCC8175697}"/>
            </c:ext>
          </c:extLst>
        </c:ser>
        <c:ser>
          <c:idx val="13"/>
          <c:order val="13"/>
          <c:tx>
            <c:strRef>
              <c:f>donnees!$P$15</c:f>
              <c:strCache>
                <c:ptCount val="1"/>
                <c:pt idx="0">
                  <c:v>P&amp;L Leg 12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donnees!$B$16:$B$116</c:f>
              <c:numCache>
                <c:formatCode>General</c:formatCode>
                <c:ptCount val="101"/>
                <c:pt idx="0">
                  <c:v>400</c:v>
                </c:pt>
                <c:pt idx="1">
                  <c:v>400.3</c:v>
                </c:pt>
                <c:pt idx="2">
                  <c:v>400.6</c:v>
                </c:pt>
                <c:pt idx="3">
                  <c:v>400.90000000000003</c:v>
                </c:pt>
                <c:pt idx="4">
                  <c:v>401.20000000000005</c:v>
                </c:pt>
                <c:pt idx="5">
                  <c:v>401.50000000000006</c:v>
                </c:pt>
                <c:pt idx="6">
                  <c:v>401.80000000000007</c:v>
                </c:pt>
                <c:pt idx="7">
                  <c:v>402.10000000000008</c:v>
                </c:pt>
                <c:pt idx="8">
                  <c:v>402.40000000000009</c:v>
                </c:pt>
                <c:pt idx="9">
                  <c:v>402.7000000000001</c:v>
                </c:pt>
                <c:pt idx="10">
                  <c:v>403.00000000000011</c:v>
                </c:pt>
                <c:pt idx="11">
                  <c:v>403.30000000000013</c:v>
                </c:pt>
                <c:pt idx="12">
                  <c:v>403.60000000000014</c:v>
                </c:pt>
                <c:pt idx="13">
                  <c:v>403.90000000000015</c:v>
                </c:pt>
                <c:pt idx="14">
                  <c:v>404.20000000000016</c:v>
                </c:pt>
                <c:pt idx="15">
                  <c:v>404.50000000000017</c:v>
                </c:pt>
                <c:pt idx="16">
                  <c:v>404.80000000000018</c:v>
                </c:pt>
                <c:pt idx="17">
                  <c:v>405.10000000000019</c:v>
                </c:pt>
                <c:pt idx="18">
                  <c:v>405.4000000000002</c:v>
                </c:pt>
                <c:pt idx="19">
                  <c:v>405.70000000000022</c:v>
                </c:pt>
                <c:pt idx="20">
                  <c:v>406.00000000000023</c:v>
                </c:pt>
                <c:pt idx="21">
                  <c:v>406.30000000000024</c:v>
                </c:pt>
                <c:pt idx="22">
                  <c:v>406.60000000000025</c:v>
                </c:pt>
                <c:pt idx="23">
                  <c:v>406.90000000000026</c:v>
                </c:pt>
                <c:pt idx="24">
                  <c:v>407.20000000000027</c:v>
                </c:pt>
                <c:pt idx="25">
                  <c:v>407.50000000000028</c:v>
                </c:pt>
                <c:pt idx="26">
                  <c:v>407.8000000000003</c:v>
                </c:pt>
                <c:pt idx="27">
                  <c:v>408.10000000000031</c:v>
                </c:pt>
                <c:pt idx="28">
                  <c:v>408.40000000000032</c:v>
                </c:pt>
                <c:pt idx="29">
                  <c:v>408.70000000000033</c:v>
                </c:pt>
                <c:pt idx="30">
                  <c:v>409.00000000000034</c:v>
                </c:pt>
                <c:pt idx="31">
                  <c:v>409.30000000000035</c:v>
                </c:pt>
                <c:pt idx="32">
                  <c:v>409.60000000000036</c:v>
                </c:pt>
                <c:pt idx="33">
                  <c:v>409.90000000000038</c:v>
                </c:pt>
                <c:pt idx="34">
                  <c:v>410.20000000000039</c:v>
                </c:pt>
                <c:pt idx="35">
                  <c:v>410.5000000000004</c:v>
                </c:pt>
                <c:pt idx="36">
                  <c:v>410.80000000000041</c:v>
                </c:pt>
                <c:pt idx="37">
                  <c:v>411.10000000000042</c:v>
                </c:pt>
                <c:pt idx="38">
                  <c:v>411.40000000000043</c:v>
                </c:pt>
                <c:pt idx="39">
                  <c:v>411.70000000000044</c:v>
                </c:pt>
                <c:pt idx="40">
                  <c:v>412.00000000000045</c:v>
                </c:pt>
                <c:pt idx="41">
                  <c:v>412.30000000000047</c:v>
                </c:pt>
                <c:pt idx="42">
                  <c:v>412.60000000000048</c:v>
                </c:pt>
                <c:pt idx="43">
                  <c:v>412.90000000000049</c:v>
                </c:pt>
                <c:pt idx="44">
                  <c:v>413.2000000000005</c:v>
                </c:pt>
                <c:pt idx="45">
                  <c:v>413.50000000000051</c:v>
                </c:pt>
                <c:pt idx="46">
                  <c:v>413.80000000000052</c:v>
                </c:pt>
                <c:pt idx="47">
                  <c:v>414.10000000000053</c:v>
                </c:pt>
                <c:pt idx="48">
                  <c:v>414.40000000000055</c:v>
                </c:pt>
                <c:pt idx="49">
                  <c:v>414.70000000000056</c:v>
                </c:pt>
                <c:pt idx="50">
                  <c:v>415.00000000000057</c:v>
                </c:pt>
                <c:pt idx="51">
                  <c:v>415.30000000000058</c:v>
                </c:pt>
                <c:pt idx="52">
                  <c:v>415.60000000000059</c:v>
                </c:pt>
                <c:pt idx="53">
                  <c:v>415.9000000000006</c:v>
                </c:pt>
                <c:pt idx="54">
                  <c:v>416.20000000000061</c:v>
                </c:pt>
                <c:pt idx="55">
                  <c:v>416.50000000000063</c:v>
                </c:pt>
                <c:pt idx="56">
                  <c:v>416.80000000000064</c:v>
                </c:pt>
                <c:pt idx="57">
                  <c:v>417.10000000000065</c:v>
                </c:pt>
                <c:pt idx="58">
                  <c:v>417.40000000000066</c:v>
                </c:pt>
                <c:pt idx="59">
                  <c:v>417.70000000000067</c:v>
                </c:pt>
                <c:pt idx="60">
                  <c:v>418.00000000000068</c:v>
                </c:pt>
                <c:pt idx="61">
                  <c:v>418.30000000000069</c:v>
                </c:pt>
                <c:pt idx="62">
                  <c:v>418.6000000000007</c:v>
                </c:pt>
                <c:pt idx="63">
                  <c:v>418.90000000000072</c:v>
                </c:pt>
                <c:pt idx="64">
                  <c:v>419.20000000000073</c:v>
                </c:pt>
                <c:pt idx="65">
                  <c:v>419.50000000000074</c:v>
                </c:pt>
                <c:pt idx="66">
                  <c:v>419.80000000000075</c:v>
                </c:pt>
                <c:pt idx="67">
                  <c:v>420.10000000000076</c:v>
                </c:pt>
                <c:pt idx="68">
                  <c:v>420.40000000000077</c:v>
                </c:pt>
                <c:pt idx="69">
                  <c:v>420.70000000000078</c:v>
                </c:pt>
                <c:pt idx="70">
                  <c:v>421.0000000000008</c:v>
                </c:pt>
                <c:pt idx="71">
                  <c:v>421.30000000000081</c:v>
                </c:pt>
                <c:pt idx="72">
                  <c:v>421.60000000000082</c:v>
                </c:pt>
                <c:pt idx="73">
                  <c:v>421.90000000000083</c:v>
                </c:pt>
                <c:pt idx="74">
                  <c:v>422.20000000000084</c:v>
                </c:pt>
                <c:pt idx="75">
                  <c:v>422.50000000000085</c:v>
                </c:pt>
                <c:pt idx="76">
                  <c:v>422.80000000000086</c:v>
                </c:pt>
                <c:pt idx="77">
                  <c:v>423.10000000000088</c:v>
                </c:pt>
                <c:pt idx="78">
                  <c:v>423.40000000000089</c:v>
                </c:pt>
                <c:pt idx="79">
                  <c:v>423.7000000000009</c:v>
                </c:pt>
                <c:pt idx="80">
                  <c:v>424.00000000000091</c:v>
                </c:pt>
                <c:pt idx="81">
                  <c:v>424.30000000000092</c:v>
                </c:pt>
                <c:pt idx="82">
                  <c:v>424.60000000000093</c:v>
                </c:pt>
                <c:pt idx="83">
                  <c:v>424.90000000000094</c:v>
                </c:pt>
                <c:pt idx="84">
                  <c:v>425.20000000000095</c:v>
                </c:pt>
                <c:pt idx="85">
                  <c:v>425.50000000000097</c:v>
                </c:pt>
                <c:pt idx="86">
                  <c:v>425.80000000000098</c:v>
                </c:pt>
                <c:pt idx="87">
                  <c:v>426.10000000000099</c:v>
                </c:pt>
                <c:pt idx="88">
                  <c:v>426.400000000001</c:v>
                </c:pt>
                <c:pt idx="89">
                  <c:v>426.70000000000101</c:v>
                </c:pt>
                <c:pt idx="90">
                  <c:v>427.00000000000102</c:v>
                </c:pt>
                <c:pt idx="91">
                  <c:v>427.30000000000103</c:v>
                </c:pt>
                <c:pt idx="92">
                  <c:v>427.60000000000105</c:v>
                </c:pt>
                <c:pt idx="93">
                  <c:v>427.90000000000106</c:v>
                </c:pt>
                <c:pt idx="94">
                  <c:v>428.20000000000107</c:v>
                </c:pt>
                <c:pt idx="95">
                  <c:v>428.50000000000108</c:v>
                </c:pt>
                <c:pt idx="96">
                  <c:v>428.80000000000109</c:v>
                </c:pt>
                <c:pt idx="97">
                  <c:v>429.1000000000011</c:v>
                </c:pt>
                <c:pt idx="98">
                  <c:v>429.40000000000111</c:v>
                </c:pt>
                <c:pt idx="99">
                  <c:v>429.70000000000113</c:v>
                </c:pt>
                <c:pt idx="100">
                  <c:v>430.00000000000114</c:v>
                </c:pt>
              </c:numCache>
            </c:numRef>
          </c:cat>
          <c:val>
            <c:numRef>
              <c:f>donnees!$P$16:$P$116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FC-4F74-A66B-49DCC8175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8111464"/>
        <c:axId val="648118352"/>
      </c:lineChart>
      <c:catAx>
        <c:axId val="648111464"/>
        <c:scaling>
          <c:orientation val="minMax"/>
        </c:scaling>
        <c:delete val="0"/>
        <c:axPos val="b"/>
        <c:numFmt formatCode="#,##0.0" sourceLinked="0"/>
        <c:majorTickMark val="in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8118352"/>
        <c:crosses val="autoZero"/>
        <c:auto val="1"/>
        <c:lblAlgn val="ctr"/>
        <c:lblOffset val="100"/>
        <c:noMultiLvlLbl val="0"/>
      </c:catAx>
      <c:valAx>
        <c:axId val="64811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out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8111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133350</xdr:rowOff>
        </xdr:from>
        <xdr:to>
          <xdr:col>14</xdr:col>
          <xdr:colOff>552450</xdr:colOff>
          <xdr:row>3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Remise à zéro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619125</xdr:colOff>
      <xdr:row>50</xdr:row>
      <xdr:rowOff>85724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28575</xdr:rowOff>
    </xdr:from>
    <xdr:to>
      <xdr:col>21</xdr:col>
      <xdr:colOff>628650</xdr:colOff>
      <xdr:row>24</xdr:row>
      <xdr:rowOff>101531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3125" y="28575"/>
          <a:ext cx="16011525" cy="3959156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476250</xdr:colOff>
      <xdr:row>117</xdr:row>
      <xdr:rowOff>38101</xdr:rowOff>
    </xdr:from>
    <xdr:to>
      <xdr:col>22</xdr:col>
      <xdr:colOff>466725</xdr:colOff>
      <xdr:row>140</xdr:row>
      <xdr:rowOff>52652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18983326"/>
          <a:ext cx="15992475" cy="3738826"/>
        </a:xfrm>
        <a:prstGeom prst="rect">
          <a:avLst/>
        </a:prstGeom>
      </xdr:spPr>
    </xdr:pic>
    <xdr:clientData/>
  </xdr:twoCellAnchor>
  <xdr:twoCellAnchor editAs="oneCell">
    <xdr:from>
      <xdr:col>1</xdr:col>
      <xdr:colOff>561975</xdr:colOff>
      <xdr:row>93</xdr:row>
      <xdr:rowOff>76200</xdr:rowOff>
    </xdr:from>
    <xdr:to>
      <xdr:col>25</xdr:col>
      <xdr:colOff>316843</xdr:colOff>
      <xdr:row>116</xdr:row>
      <xdr:rowOff>124351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23975" y="15135225"/>
          <a:ext cx="18042868" cy="3772426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</xdr:colOff>
      <xdr:row>44</xdr:row>
      <xdr:rowOff>133349</xdr:rowOff>
    </xdr:from>
    <xdr:to>
      <xdr:col>26</xdr:col>
      <xdr:colOff>631180</xdr:colOff>
      <xdr:row>93</xdr:row>
      <xdr:rowOff>95249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4575" y="7258049"/>
          <a:ext cx="18128605" cy="7896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P116"/>
  <sheetViews>
    <sheetView workbookViewId="0">
      <selection activeCell="E13" sqref="E13"/>
    </sheetView>
  </sheetViews>
  <sheetFormatPr baseColWidth="10" defaultRowHeight="12.75" x14ac:dyDescent="0.2"/>
  <sheetData>
    <row r="1" spans="2:16" x14ac:dyDescent="0.2">
      <c r="E1" s="2" t="s">
        <v>18</v>
      </c>
      <c r="H1" s="1" t="s">
        <v>3</v>
      </c>
      <c r="I1" s="1" t="s">
        <v>3</v>
      </c>
    </row>
    <row r="2" spans="2:16" x14ac:dyDescent="0.2">
      <c r="D2" t="s">
        <v>25</v>
      </c>
      <c r="E2" s="3">
        <v>40</v>
      </c>
      <c r="H2" t="s">
        <v>5</v>
      </c>
      <c r="I2" t="s">
        <v>0</v>
      </c>
    </row>
    <row r="3" spans="2:16" x14ac:dyDescent="0.2">
      <c r="D3" t="s">
        <v>20</v>
      </c>
      <c r="E3" s="5" t="s">
        <v>3</v>
      </c>
      <c r="H3" t="s">
        <v>4</v>
      </c>
      <c r="I3" t="s">
        <v>1</v>
      </c>
    </row>
    <row r="4" spans="2:16" x14ac:dyDescent="0.2">
      <c r="D4" t="s">
        <v>22</v>
      </c>
      <c r="E4" s="3">
        <v>100</v>
      </c>
    </row>
    <row r="7" spans="2:16" x14ac:dyDescent="0.2">
      <c r="E7" s="2" t="s">
        <v>6</v>
      </c>
      <c r="F7" s="2" t="s">
        <v>7</v>
      </c>
      <c r="G7" s="2" t="s">
        <v>8</v>
      </c>
      <c r="H7" s="2" t="s">
        <v>9</v>
      </c>
      <c r="I7" s="2" t="s">
        <v>10</v>
      </c>
      <c r="J7" s="2" t="s">
        <v>11</v>
      </c>
      <c r="K7" s="2" t="s">
        <v>12</v>
      </c>
      <c r="L7" s="2" t="s">
        <v>13</v>
      </c>
      <c r="M7" s="2" t="s">
        <v>14</v>
      </c>
      <c r="N7" s="2" t="s">
        <v>15</v>
      </c>
      <c r="O7" s="2" t="s">
        <v>16</v>
      </c>
      <c r="P7" s="2" t="s">
        <v>17</v>
      </c>
    </row>
    <row r="8" spans="2:16" x14ac:dyDescent="0.2">
      <c r="D8" t="s">
        <v>19</v>
      </c>
      <c r="E8" s="6" t="s">
        <v>1</v>
      </c>
      <c r="F8" s="6" t="s">
        <v>3</v>
      </c>
      <c r="G8" s="6" t="s">
        <v>3</v>
      </c>
      <c r="H8" s="6" t="s">
        <v>3</v>
      </c>
      <c r="I8" s="6" t="s">
        <v>3</v>
      </c>
      <c r="J8" s="6" t="s">
        <v>3</v>
      </c>
      <c r="K8" s="6" t="s">
        <v>3</v>
      </c>
      <c r="L8" s="6" t="s">
        <v>3</v>
      </c>
      <c r="M8" s="6" t="s">
        <v>3</v>
      </c>
      <c r="N8" s="6" t="s">
        <v>3</v>
      </c>
      <c r="O8" s="6" t="s">
        <v>3</v>
      </c>
      <c r="P8" s="6" t="s">
        <v>3</v>
      </c>
    </row>
    <row r="9" spans="2:16" x14ac:dyDescent="0.2">
      <c r="D9" t="s">
        <v>20</v>
      </c>
      <c r="E9" s="6" t="s">
        <v>5</v>
      </c>
      <c r="F9" s="6" t="s">
        <v>4</v>
      </c>
      <c r="G9" s="6" t="s">
        <v>5</v>
      </c>
      <c r="H9" s="6" t="s">
        <v>3</v>
      </c>
      <c r="I9" s="6" t="s">
        <v>3</v>
      </c>
      <c r="J9" s="6" t="s">
        <v>3</v>
      </c>
      <c r="K9" s="6" t="s">
        <v>3</v>
      </c>
      <c r="L9" s="6" t="s">
        <v>3</v>
      </c>
      <c r="M9" s="6" t="s">
        <v>3</v>
      </c>
      <c r="N9" s="6" t="s">
        <v>3</v>
      </c>
      <c r="O9" s="6" t="s">
        <v>3</v>
      </c>
      <c r="P9" s="6" t="s">
        <v>3</v>
      </c>
    </row>
    <row r="10" spans="2:16" x14ac:dyDescent="0.2">
      <c r="D10" t="s">
        <v>21</v>
      </c>
      <c r="E10" s="4">
        <v>428</v>
      </c>
      <c r="F10" s="4">
        <v>425</v>
      </c>
      <c r="G10" s="4">
        <v>425</v>
      </c>
      <c r="H10" s="4">
        <v>430</v>
      </c>
      <c r="I10" s="4">
        <v>50</v>
      </c>
      <c r="J10" s="4">
        <v>50</v>
      </c>
      <c r="K10" s="4">
        <v>50</v>
      </c>
      <c r="L10" s="4">
        <v>50</v>
      </c>
      <c r="M10" s="4">
        <v>50</v>
      </c>
      <c r="N10" s="4">
        <v>50</v>
      </c>
      <c r="O10" s="4">
        <v>50</v>
      </c>
      <c r="P10" s="4">
        <v>50</v>
      </c>
    </row>
    <row r="11" spans="2:16" x14ac:dyDescent="0.2">
      <c r="D11" t="s">
        <v>2</v>
      </c>
      <c r="E11" s="4">
        <v>9</v>
      </c>
      <c r="F11" s="4">
        <v>7.3</v>
      </c>
      <c r="G11" s="4">
        <v>6.6</v>
      </c>
      <c r="H11" s="4">
        <v>2</v>
      </c>
      <c r="I11" s="4">
        <v>2</v>
      </c>
      <c r="J11" s="4">
        <v>2</v>
      </c>
      <c r="K11" s="4">
        <v>2</v>
      </c>
      <c r="L11" s="4">
        <v>2</v>
      </c>
      <c r="M11" s="4">
        <v>2</v>
      </c>
      <c r="N11" s="4">
        <v>2</v>
      </c>
      <c r="O11" s="4">
        <v>2</v>
      </c>
      <c r="P11" s="4">
        <v>2</v>
      </c>
    </row>
    <row r="12" spans="2:16" x14ac:dyDescent="0.2">
      <c r="D12" t="s">
        <v>23</v>
      </c>
      <c r="E12" s="4">
        <v>10</v>
      </c>
      <c r="F12" s="4">
        <v>20</v>
      </c>
      <c r="G12" s="4">
        <v>5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</row>
    <row r="14" spans="2:16" x14ac:dyDescent="0.2">
      <c r="B14" t="s">
        <v>26</v>
      </c>
      <c r="C14">
        <f>(graph!G53-graph!F53)/100</f>
        <v>0.3</v>
      </c>
    </row>
    <row r="15" spans="2:16" x14ac:dyDescent="0.2">
      <c r="B15" t="s">
        <v>28</v>
      </c>
      <c r="C15" t="s">
        <v>27</v>
      </c>
      <c r="D15" t="s">
        <v>24</v>
      </c>
      <c r="E15" t="s">
        <v>29</v>
      </c>
      <c r="F15" t="s">
        <v>30</v>
      </c>
      <c r="G15" t="s">
        <v>31</v>
      </c>
      <c r="H15" t="s">
        <v>32</v>
      </c>
      <c r="I15" t="s">
        <v>33</v>
      </c>
      <c r="J15" t="s">
        <v>34</v>
      </c>
      <c r="K15" t="s">
        <v>35</v>
      </c>
      <c r="L15" t="s">
        <v>36</v>
      </c>
      <c r="M15" t="s">
        <v>37</v>
      </c>
      <c r="N15" t="s">
        <v>38</v>
      </c>
      <c r="O15" t="s">
        <v>39</v>
      </c>
      <c r="P15" t="s">
        <v>40</v>
      </c>
    </row>
    <row r="16" spans="2:16" x14ac:dyDescent="0.2">
      <c r="B16">
        <f>graph!F53</f>
        <v>400</v>
      </c>
      <c r="C16">
        <f>SUM(D16:P16)</f>
        <v>19000</v>
      </c>
      <c r="D16">
        <f>IF($E$3="--Select",0,IF($E$3="Long",1,-1))*$E$4*(B16-$E$2)</f>
        <v>0</v>
      </c>
      <c r="E16">
        <f>IF(OR(E$8="--Select",E$9="--Select"),0,1)*IF(E$8="Call",MAX(0,$B16-E$10)-E$11,MAX(0,E$10-$B16)-E$11)*IF(E$9="Long",1,-1)*E$12*100</f>
        <v>19000</v>
      </c>
      <c r="F16">
        <f t="shared" ref="F16:P31" si="0">IF(OR(F$8="--Select",F$9="--Select"),0,1)*IF(F$8="Call",MAX(0,$B16-F$10)-F$11,MAX(0,F$10-$B16)-F$11)*IF(F$9="Long",1,-1)*F$12*100</f>
        <v>0</v>
      </c>
      <c r="G16">
        <f t="shared" si="0"/>
        <v>0</v>
      </c>
      <c r="H16">
        <f t="shared" si="0"/>
        <v>0</v>
      </c>
      <c r="I16">
        <f t="shared" si="0"/>
        <v>0</v>
      </c>
      <c r="J16">
        <f t="shared" si="0"/>
        <v>0</v>
      </c>
      <c r="K16">
        <f t="shared" si="0"/>
        <v>0</v>
      </c>
      <c r="L16">
        <f t="shared" si="0"/>
        <v>0</v>
      </c>
      <c r="M16">
        <f t="shared" si="0"/>
        <v>0</v>
      </c>
      <c r="N16">
        <f t="shared" si="0"/>
        <v>0</v>
      </c>
      <c r="O16">
        <f t="shared" si="0"/>
        <v>0</v>
      </c>
      <c r="P16">
        <f t="shared" si="0"/>
        <v>0</v>
      </c>
    </row>
    <row r="17" spans="2:16" x14ac:dyDescent="0.2">
      <c r="B17">
        <f t="shared" ref="B17:B48" si="1">B16+$C$14</f>
        <v>400.3</v>
      </c>
      <c r="C17">
        <f t="shared" ref="C17:C80" si="2">SUM(D17:P17)</f>
        <v>18699.999999999989</v>
      </c>
      <c r="D17">
        <f t="shared" ref="D17:D80" si="3">IF($E$3="--Select",0,IF($E$3="Long",1,-1))*$E$4*(B17-$E$2)</f>
        <v>0</v>
      </c>
      <c r="E17">
        <f t="shared" ref="E17:P48" si="4">IF(OR(E$8="--Select",E$9="--Select"),0,1)*IF(E$8="Call",MAX(0,$B17-E$10)-E$11,MAX(0,E$10-$B17)-E$11)*IF(E$9="Long",1,-1)*E$12*100</f>
        <v>18699.999999999989</v>
      </c>
      <c r="F17">
        <f t="shared" si="0"/>
        <v>0</v>
      </c>
      <c r="G17">
        <f t="shared" si="0"/>
        <v>0</v>
      </c>
      <c r="H17">
        <f t="shared" si="0"/>
        <v>0</v>
      </c>
      <c r="I17">
        <f t="shared" si="0"/>
        <v>0</v>
      </c>
      <c r="J17">
        <f t="shared" si="0"/>
        <v>0</v>
      </c>
      <c r="K17">
        <f t="shared" si="0"/>
        <v>0</v>
      </c>
      <c r="L17">
        <f t="shared" si="0"/>
        <v>0</v>
      </c>
      <c r="M17">
        <f t="shared" si="0"/>
        <v>0</v>
      </c>
      <c r="N17">
        <f t="shared" si="0"/>
        <v>0</v>
      </c>
      <c r="O17">
        <f t="shared" si="0"/>
        <v>0</v>
      </c>
      <c r="P17">
        <f t="shared" si="0"/>
        <v>0</v>
      </c>
    </row>
    <row r="18" spans="2:16" x14ac:dyDescent="0.2">
      <c r="B18">
        <f t="shared" si="1"/>
        <v>400.6</v>
      </c>
      <c r="C18">
        <f t="shared" si="2"/>
        <v>18399.999999999978</v>
      </c>
      <c r="D18">
        <f t="shared" si="3"/>
        <v>0</v>
      </c>
      <c r="E18">
        <f t="shared" si="4"/>
        <v>18399.999999999978</v>
      </c>
      <c r="F18">
        <f t="shared" si="0"/>
        <v>0</v>
      </c>
      <c r="G18">
        <f t="shared" si="0"/>
        <v>0</v>
      </c>
      <c r="H18">
        <f t="shared" si="0"/>
        <v>0</v>
      </c>
      <c r="I18">
        <f t="shared" si="0"/>
        <v>0</v>
      </c>
      <c r="J18">
        <f t="shared" si="0"/>
        <v>0</v>
      </c>
      <c r="K18">
        <f t="shared" si="0"/>
        <v>0</v>
      </c>
      <c r="L18">
        <f t="shared" si="0"/>
        <v>0</v>
      </c>
      <c r="M18">
        <f t="shared" si="0"/>
        <v>0</v>
      </c>
      <c r="N18">
        <f t="shared" si="0"/>
        <v>0</v>
      </c>
      <c r="O18">
        <f t="shared" si="0"/>
        <v>0</v>
      </c>
      <c r="P18">
        <f t="shared" si="0"/>
        <v>0</v>
      </c>
    </row>
    <row r="19" spans="2:16" x14ac:dyDescent="0.2">
      <c r="B19">
        <f t="shared" si="1"/>
        <v>400.90000000000003</v>
      </c>
      <c r="C19">
        <f t="shared" si="2"/>
        <v>18099.999999999967</v>
      </c>
      <c r="D19">
        <f t="shared" si="3"/>
        <v>0</v>
      </c>
      <c r="E19">
        <f t="shared" si="4"/>
        <v>18099.999999999967</v>
      </c>
      <c r="F19">
        <f t="shared" si="0"/>
        <v>0</v>
      </c>
      <c r="G19">
        <f t="shared" si="0"/>
        <v>0</v>
      </c>
      <c r="H19">
        <f t="shared" si="0"/>
        <v>0</v>
      </c>
      <c r="I19">
        <f t="shared" si="0"/>
        <v>0</v>
      </c>
      <c r="J19">
        <f t="shared" si="0"/>
        <v>0</v>
      </c>
      <c r="K19">
        <f t="shared" si="0"/>
        <v>0</v>
      </c>
      <c r="L19">
        <f t="shared" si="0"/>
        <v>0</v>
      </c>
      <c r="M19">
        <f t="shared" si="0"/>
        <v>0</v>
      </c>
      <c r="N19">
        <f t="shared" si="0"/>
        <v>0</v>
      </c>
      <c r="O19">
        <f t="shared" si="0"/>
        <v>0</v>
      </c>
      <c r="P19">
        <f t="shared" si="0"/>
        <v>0</v>
      </c>
    </row>
    <row r="20" spans="2:16" x14ac:dyDescent="0.2">
      <c r="B20">
        <f t="shared" si="1"/>
        <v>401.20000000000005</v>
      </c>
      <c r="C20">
        <f t="shared" si="2"/>
        <v>17799.999999999956</v>
      </c>
      <c r="D20">
        <f t="shared" si="3"/>
        <v>0</v>
      </c>
      <c r="E20">
        <f t="shared" si="4"/>
        <v>17799.999999999956</v>
      </c>
      <c r="F20">
        <f t="shared" si="0"/>
        <v>0</v>
      </c>
      <c r="G20">
        <f t="shared" si="0"/>
        <v>0</v>
      </c>
      <c r="H20">
        <f t="shared" si="0"/>
        <v>0</v>
      </c>
      <c r="I20">
        <f t="shared" si="0"/>
        <v>0</v>
      </c>
      <c r="J20">
        <f t="shared" si="0"/>
        <v>0</v>
      </c>
      <c r="K20">
        <f t="shared" si="0"/>
        <v>0</v>
      </c>
      <c r="L20">
        <f t="shared" si="0"/>
        <v>0</v>
      </c>
      <c r="M20">
        <f t="shared" si="0"/>
        <v>0</v>
      </c>
      <c r="N20">
        <f t="shared" si="0"/>
        <v>0</v>
      </c>
      <c r="O20">
        <f t="shared" si="0"/>
        <v>0</v>
      </c>
      <c r="P20">
        <f t="shared" si="0"/>
        <v>0</v>
      </c>
    </row>
    <row r="21" spans="2:16" x14ac:dyDescent="0.2">
      <c r="B21">
        <f t="shared" si="1"/>
        <v>401.50000000000006</v>
      </c>
      <c r="C21">
        <f t="shared" si="2"/>
        <v>17499.999999999942</v>
      </c>
      <c r="D21">
        <f t="shared" si="3"/>
        <v>0</v>
      </c>
      <c r="E21">
        <f t="shared" si="4"/>
        <v>17499.999999999942</v>
      </c>
      <c r="F21">
        <f t="shared" si="0"/>
        <v>0</v>
      </c>
      <c r="G21">
        <f t="shared" si="0"/>
        <v>0</v>
      </c>
      <c r="H21">
        <f t="shared" si="0"/>
        <v>0</v>
      </c>
      <c r="I21">
        <f t="shared" si="0"/>
        <v>0</v>
      </c>
      <c r="J21">
        <f t="shared" si="0"/>
        <v>0</v>
      </c>
      <c r="K21">
        <f t="shared" si="0"/>
        <v>0</v>
      </c>
      <c r="L21">
        <f t="shared" si="0"/>
        <v>0</v>
      </c>
      <c r="M21">
        <f t="shared" si="0"/>
        <v>0</v>
      </c>
      <c r="N21">
        <f t="shared" si="0"/>
        <v>0</v>
      </c>
      <c r="O21">
        <f t="shared" si="0"/>
        <v>0</v>
      </c>
      <c r="P21">
        <f t="shared" si="0"/>
        <v>0</v>
      </c>
    </row>
    <row r="22" spans="2:16" x14ac:dyDescent="0.2">
      <c r="B22">
        <f t="shared" si="1"/>
        <v>401.80000000000007</v>
      </c>
      <c r="C22">
        <f t="shared" si="2"/>
        <v>17199.999999999931</v>
      </c>
      <c r="D22">
        <f t="shared" si="3"/>
        <v>0</v>
      </c>
      <c r="E22">
        <f t="shared" si="4"/>
        <v>17199.999999999931</v>
      </c>
      <c r="F22">
        <f t="shared" si="0"/>
        <v>0</v>
      </c>
      <c r="G22">
        <f t="shared" si="0"/>
        <v>0</v>
      </c>
      <c r="H22">
        <f t="shared" si="0"/>
        <v>0</v>
      </c>
      <c r="I22">
        <f t="shared" si="0"/>
        <v>0</v>
      </c>
      <c r="J22">
        <f t="shared" si="0"/>
        <v>0</v>
      </c>
      <c r="K22">
        <f t="shared" si="0"/>
        <v>0</v>
      </c>
      <c r="L22">
        <f t="shared" si="0"/>
        <v>0</v>
      </c>
      <c r="M22">
        <f t="shared" si="0"/>
        <v>0</v>
      </c>
      <c r="N22">
        <f t="shared" si="0"/>
        <v>0</v>
      </c>
      <c r="O22">
        <f t="shared" si="0"/>
        <v>0</v>
      </c>
      <c r="P22">
        <f t="shared" si="0"/>
        <v>0</v>
      </c>
    </row>
    <row r="23" spans="2:16" x14ac:dyDescent="0.2">
      <c r="B23">
        <f t="shared" si="1"/>
        <v>402.10000000000008</v>
      </c>
      <c r="C23">
        <f t="shared" si="2"/>
        <v>16899.99999999992</v>
      </c>
      <c r="D23">
        <f t="shared" si="3"/>
        <v>0</v>
      </c>
      <c r="E23">
        <f t="shared" si="4"/>
        <v>16899.99999999992</v>
      </c>
      <c r="F23">
        <f t="shared" si="0"/>
        <v>0</v>
      </c>
      <c r="G23">
        <f t="shared" si="0"/>
        <v>0</v>
      </c>
      <c r="H23">
        <f t="shared" si="0"/>
        <v>0</v>
      </c>
      <c r="I23">
        <f t="shared" si="0"/>
        <v>0</v>
      </c>
      <c r="J23">
        <f t="shared" si="0"/>
        <v>0</v>
      </c>
      <c r="K23">
        <f t="shared" si="0"/>
        <v>0</v>
      </c>
      <c r="L23">
        <f t="shared" si="0"/>
        <v>0</v>
      </c>
      <c r="M23">
        <f t="shared" si="0"/>
        <v>0</v>
      </c>
      <c r="N23">
        <f t="shared" si="0"/>
        <v>0</v>
      </c>
      <c r="O23">
        <f t="shared" si="0"/>
        <v>0</v>
      </c>
      <c r="P23">
        <f t="shared" si="0"/>
        <v>0</v>
      </c>
    </row>
    <row r="24" spans="2:16" x14ac:dyDescent="0.2">
      <c r="B24">
        <f t="shared" si="1"/>
        <v>402.40000000000009</v>
      </c>
      <c r="C24">
        <f t="shared" si="2"/>
        <v>16599.999999999909</v>
      </c>
      <c r="D24">
        <f t="shared" si="3"/>
        <v>0</v>
      </c>
      <c r="E24">
        <f t="shared" si="4"/>
        <v>16599.999999999909</v>
      </c>
      <c r="F24">
        <f t="shared" si="0"/>
        <v>0</v>
      </c>
      <c r="G24">
        <f t="shared" si="0"/>
        <v>0</v>
      </c>
      <c r="H24">
        <f t="shared" si="0"/>
        <v>0</v>
      </c>
      <c r="I24">
        <f t="shared" si="0"/>
        <v>0</v>
      </c>
      <c r="J24">
        <f t="shared" si="0"/>
        <v>0</v>
      </c>
      <c r="K24">
        <f t="shared" si="0"/>
        <v>0</v>
      </c>
      <c r="L24">
        <f t="shared" si="0"/>
        <v>0</v>
      </c>
      <c r="M24">
        <f t="shared" si="0"/>
        <v>0</v>
      </c>
      <c r="N24">
        <f t="shared" si="0"/>
        <v>0</v>
      </c>
      <c r="O24">
        <f t="shared" si="0"/>
        <v>0</v>
      </c>
      <c r="P24">
        <f t="shared" si="0"/>
        <v>0</v>
      </c>
    </row>
    <row r="25" spans="2:16" x14ac:dyDescent="0.2">
      <c r="B25">
        <f t="shared" si="1"/>
        <v>402.7000000000001</v>
      </c>
      <c r="C25">
        <f t="shared" si="2"/>
        <v>16299.999999999898</v>
      </c>
      <c r="D25">
        <f t="shared" si="3"/>
        <v>0</v>
      </c>
      <c r="E25">
        <f t="shared" si="4"/>
        <v>16299.999999999898</v>
      </c>
      <c r="F25">
        <f t="shared" si="0"/>
        <v>0</v>
      </c>
      <c r="G25">
        <f t="shared" si="0"/>
        <v>0</v>
      </c>
      <c r="H25">
        <f t="shared" si="0"/>
        <v>0</v>
      </c>
      <c r="I25">
        <f t="shared" si="0"/>
        <v>0</v>
      </c>
      <c r="J25">
        <f t="shared" si="0"/>
        <v>0</v>
      </c>
      <c r="K25">
        <f t="shared" si="0"/>
        <v>0</v>
      </c>
      <c r="L25">
        <f t="shared" si="0"/>
        <v>0</v>
      </c>
      <c r="M25">
        <f t="shared" si="0"/>
        <v>0</v>
      </c>
      <c r="N25">
        <f t="shared" si="0"/>
        <v>0</v>
      </c>
      <c r="O25">
        <f t="shared" si="0"/>
        <v>0</v>
      </c>
      <c r="P25">
        <f t="shared" si="0"/>
        <v>0</v>
      </c>
    </row>
    <row r="26" spans="2:16" x14ac:dyDescent="0.2">
      <c r="B26">
        <f t="shared" si="1"/>
        <v>403.00000000000011</v>
      </c>
      <c r="C26">
        <f t="shared" si="2"/>
        <v>15999.999999999887</v>
      </c>
      <c r="D26">
        <f t="shared" si="3"/>
        <v>0</v>
      </c>
      <c r="E26">
        <f t="shared" si="4"/>
        <v>15999.999999999887</v>
      </c>
      <c r="F26">
        <f t="shared" si="0"/>
        <v>0</v>
      </c>
      <c r="G26">
        <f t="shared" si="0"/>
        <v>0</v>
      </c>
      <c r="H26">
        <f t="shared" si="0"/>
        <v>0</v>
      </c>
      <c r="I26">
        <f t="shared" si="0"/>
        <v>0</v>
      </c>
      <c r="J26">
        <f t="shared" si="0"/>
        <v>0</v>
      </c>
      <c r="K26">
        <f t="shared" si="0"/>
        <v>0</v>
      </c>
      <c r="L26">
        <f t="shared" si="0"/>
        <v>0</v>
      </c>
      <c r="M26">
        <f t="shared" si="0"/>
        <v>0</v>
      </c>
      <c r="N26">
        <f t="shared" si="0"/>
        <v>0</v>
      </c>
      <c r="O26">
        <f t="shared" si="0"/>
        <v>0</v>
      </c>
      <c r="P26">
        <f t="shared" si="0"/>
        <v>0</v>
      </c>
    </row>
    <row r="27" spans="2:16" x14ac:dyDescent="0.2">
      <c r="B27">
        <f t="shared" si="1"/>
        <v>403.30000000000013</v>
      </c>
      <c r="C27">
        <f t="shared" si="2"/>
        <v>15699.999999999874</v>
      </c>
      <c r="D27">
        <f t="shared" si="3"/>
        <v>0</v>
      </c>
      <c r="E27">
        <f t="shared" si="4"/>
        <v>15699.999999999874</v>
      </c>
      <c r="F27">
        <f t="shared" si="0"/>
        <v>0</v>
      </c>
      <c r="G27">
        <f t="shared" si="0"/>
        <v>0</v>
      </c>
      <c r="H27">
        <f t="shared" si="0"/>
        <v>0</v>
      </c>
      <c r="I27">
        <f t="shared" si="0"/>
        <v>0</v>
      </c>
      <c r="J27">
        <f t="shared" si="0"/>
        <v>0</v>
      </c>
      <c r="K27">
        <f t="shared" si="0"/>
        <v>0</v>
      </c>
      <c r="L27">
        <f t="shared" si="0"/>
        <v>0</v>
      </c>
      <c r="M27">
        <f t="shared" si="0"/>
        <v>0</v>
      </c>
      <c r="N27">
        <f t="shared" si="0"/>
        <v>0</v>
      </c>
      <c r="O27">
        <f t="shared" si="0"/>
        <v>0</v>
      </c>
      <c r="P27">
        <f t="shared" si="0"/>
        <v>0</v>
      </c>
    </row>
    <row r="28" spans="2:16" x14ac:dyDescent="0.2">
      <c r="B28">
        <f t="shared" si="1"/>
        <v>403.60000000000014</v>
      </c>
      <c r="C28">
        <f t="shared" si="2"/>
        <v>15399.999999999864</v>
      </c>
      <c r="D28">
        <f t="shared" si="3"/>
        <v>0</v>
      </c>
      <c r="E28">
        <f t="shared" si="4"/>
        <v>15399.999999999864</v>
      </c>
      <c r="F28">
        <f t="shared" si="0"/>
        <v>0</v>
      </c>
      <c r="G28">
        <f t="shared" si="0"/>
        <v>0</v>
      </c>
      <c r="H28">
        <f t="shared" si="0"/>
        <v>0</v>
      </c>
      <c r="I28">
        <f t="shared" si="0"/>
        <v>0</v>
      </c>
      <c r="J28">
        <f t="shared" si="0"/>
        <v>0</v>
      </c>
      <c r="K28">
        <f t="shared" si="0"/>
        <v>0</v>
      </c>
      <c r="L28">
        <f t="shared" si="0"/>
        <v>0</v>
      </c>
      <c r="M28">
        <f t="shared" si="0"/>
        <v>0</v>
      </c>
      <c r="N28">
        <f t="shared" si="0"/>
        <v>0</v>
      </c>
      <c r="O28">
        <f t="shared" si="0"/>
        <v>0</v>
      </c>
      <c r="P28">
        <f t="shared" si="0"/>
        <v>0</v>
      </c>
    </row>
    <row r="29" spans="2:16" x14ac:dyDescent="0.2">
      <c r="B29">
        <f t="shared" si="1"/>
        <v>403.90000000000015</v>
      </c>
      <c r="C29">
        <f t="shared" si="2"/>
        <v>15099.999999999853</v>
      </c>
      <c r="D29">
        <f t="shared" si="3"/>
        <v>0</v>
      </c>
      <c r="E29">
        <f t="shared" si="4"/>
        <v>15099.999999999853</v>
      </c>
      <c r="F29">
        <f t="shared" si="0"/>
        <v>0</v>
      </c>
      <c r="G29">
        <f t="shared" si="0"/>
        <v>0</v>
      </c>
      <c r="H29">
        <f t="shared" si="0"/>
        <v>0</v>
      </c>
      <c r="I29">
        <f t="shared" si="0"/>
        <v>0</v>
      </c>
      <c r="J29">
        <f t="shared" si="0"/>
        <v>0</v>
      </c>
      <c r="K29">
        <f t="shared" si="0"/>
        <v>0</v>
      </c>
      <c r="L29">
        <f t="shared" si="0"/>
        <v>0</v>
      </c>
      <c r="M29">
        <f t="shared" si="0"/>
        <v>0</v>
      </c>
      <c r="N29">
        <f t="shared" si="0"/>
        <v>0</v>
      </c>
      <c r="O29">
        <f t="shared" si="0"/>
        <v>0</v>
      </c>
      <c r="P29">
        <f t="shared" si="0"/>
        <v>0</v>
      </c>
    </row>
    <row r="30" spans="2:16" x14ac:dyDescent="0.2">
      <c r="B30">
        <f t="shared" si="1"/>
        <v>404.20000000000016</v>
      </c>
      <c r="C30">
        <f t="shared" si="2"/>
        <v>14799.99999999984</v>
      </c>
      <c r="D30">
        <f t="shared" si="3"/>
        <v>0</v>
      </c>
      <c r="E30">
        <f t="shared" si="4"/>
        <v>14799.99999999984</v>
      </c>
      <c r="F30">
        <f t="shared" si="0"/>
        <v>0</v>
      </c>
      <c r="G30">
        <f t="shared" si="0"/>
        <v>0</v>
      </c>
      <c r="H30">
        <f t="shared" si="0"/>
        <v>0</v>
      </c>
      <c r="I30">
        <f t="shared" si="0"/>
        <v>0</v>
      </c>
      <c r="J30">
        <f t="shared" si="0"/>
        <v>0</v>
      </c>
      <c r="K30">
        <f t="shared" si="0"/>
        <v>0</v>
      </c>
      <c r="L30">
        <f t="shared" si="0"/>
        <v>0</v>
      </c>
      <c r="M30">
        <f t="shared" si="0"/>
        <v>0</v>
      </c>
      <c r="N30">
        <f t="shared" si="0"/>
        <v>0</v>
      </c>
      <c r="O30">
        <f t="shared" si="0"/>
        <v>0</v>
      </c>
      <c r="P30">
        <f t="shared" si="0"/>
        <v>0</v>
      </c>
    </row>
    <row r="31" spans="2:16" x14ac:dyDescent="0.2">
      <c r="B31">
        <f t="shared" si="1"/>
        <v>404.50000000000017</v>
      </c>
      <c r="C31">
        <f t="shared" si="2"/>
        <v>14499.999999999829</v>
      </c>
      <c r="D31">
        <f t="shared" si="3"/>
        <v>0</v>
      </c>
      <c r="E31">
        <f t="shared" si="4"/>
        <v>14499.999999999829</v>
      </c>
      <c r="F31">
        <f t="shared" si="0"/>
        <v>0</v>
      </c>
      <c r="G31">
        <f t="shared" si="0"/>
        <v>0</v>
      </c>
      <c r="H31">
        <f t="shared" si="0"/>
        <v>0</v>
      </c>
      <c r="I31">
        <f t="shared" si="0"/>
        <v>0</v>
      </c>
      <c r="J31">
        <f t="shared" si="0"/>
        <v>0</v>
      </c>
      <c r="K31">
        <f t="shared" si="0"/>
        <v>0</v>
      </c>
      <c r="L31">
        <f t="shared" si="0"/>
        <v>0</v>
      </c>
      <c r="M31">
        <f t="shared" si="0"/>
        <v>0</v>
      </c>
      <c r="N31">
        <f t="shared" si="0"/>
        <v>0</v>
      </c>
      <c r="O31">
        <f t="shared" si="0"/>
        <v>0</v>
      </c>
      <c r="P31">
        <f t="shared" si="0"/>
        <v>0</v>
      </c>
    </row>
    <row r="32" spans="2:16" x14ac:dyDescent="0.2">
      <c r="B32">
        <f t="shared" si="1"/>
        <v>404.80000000000018</v>
      </c>
      <c r="C32">
        <f t="shared" si="2"/>
        <v>14199.999999999818</v>
      </c>
      <c r="D32">
        <f t="shared" si="3"/>
        <v>0</v>
      </c>
      <c r="E32">
        <f t="shared" si="4"/>
        <v>14199.999999999818</v>
      </c>
      <c r="F32">
        <f t="shared" si="4"/>
        <v>0</v>
      </c>
      <c r="G32">
        <f t="shared" si="4"/>
        <v>0</v>
      </c>
      <c r="H32">
        <f t="shared" si="4"/>
        <v>0</v>
      </c>
      <c r="I32">
        <f t="shared" si="4"/>
        <v>0</v>
      </c>
      <c r="J32">
        <f t="shared" si="4"/>
        <v>0</v>
      </c>
      <c r="K32">
        <f t="shared" si="4"/>
        <v>0</v>
      </c>
      <c r="L32">
        <f t="shared" si="4"/>
        <v>0</v>
      </c>
      <c r="M32">
        <f t="shared" si="4"/>
        <v>0</v>
      </c>
      <c r="N32">
        <f t="shared" si="4"/>
        <v>0</v>
      </c>
      <c r="O32">
        <f t="shared" si="4"/>
        <v>0</v>
      </c>
      <c r="P32">
        <f t="shared" si="4"/>
        <v>0</v>
      </c>
    </row>
    <row r="33" spans="2:16" x14ac:dyDescent="0.2">
      <c r="B33">
        <f t="shared" si="1"/>
        <v>405.10000000000019</v>
      </c>
      <c r="C33">
        <f t="shared" si="2"/>
        <v>13899.999999999807</v>
      </c>
      <c r="D33">
        <f t="shared" si="3"/>
        <v>0</v>
      </c>
      <c r="E33">
        <f t="shared" si="4"/>
        <v>13899.999999999807</v>
      </c>
      <c r="F33">
        <f t="shared" si="4"/>
        <v>0</v>
      </c>
      <c r="G33">
        <f t="shared" si="4"/>
        <v>0</v>
      </c>
      <c r="H33">
        <f t="shared" si="4"/>
        <v>0</v>
      </c>
      <c r="I33">
        <f t="shared" si="4"/>
        <v>0</v>
      </c>
      <c r="J33">
        <f t="shared" si="4"/>
        <v>0</v>
      </c>
      <c r="K33">
        <f t="shared" si="4"/>
        <v>0</v>
      </c>
      <c r="L33">
        <f t="shared" si="4"/>
        <v>0</v>
      </c>
      <c r="M33">
        <f t="shared" si="4"/>
        <v>0</v>
      </c>
      <c r="N33">
        <f t="shared" si="4"/>
        <v>0</v>
      </c>
      <c r="O33">
        <f t="shared" si="4"/>
        <v>0</v>
      </c>
      <c r="P33">
        <f t="shared" si="4"/>
        <v>0</v>
      </c>
    </row>
    <row r="34" spans="2:16" x14ac:dyDescent="0.2">
      <c r="B34">
        <f t="shared" si="1"/>
        <v>405.4000000000002</v>
      </c>
      <c r="C34">
        <f t="shared" si="2"/>
        <v>13599.999999999796</v>
      </c>
      <c r="D34">
        <f t="shared" si="3"/>
        <v>0</v>
      </c>
      <c r="E34">
        <f t="shared" si="4"/>
        <v>13599.999999999796</v>
      </c>
      <c r="F34">
        <f t="shared" si="4"/>
        <v>0</v>
      </c>
      <c r="G34">
        <f t="shared" si="4"/>
        <v>0</v>
      </c>
      <c r="H34">
        <f t="shared" si="4"/>
        <v>0</v>
      </c>
      <c r="I34">
        <f t="shared" si="4"/>
        <v>0</v>
      </c>
      <c r="J34">
        <f t="shared" si="4"/>
        <v>0</v>
      </c>
      <c r="K34">
        <f t="shared" si="4"/>
        <v>0</v>
      </c>
      <c r="L34">
        <f t="shared" si="4"/>
        <v>0</v>
      </c>
      <c r="M34">
        <f t="shared" si="4"/>
        <v>0</v>
      </c>
      <c r="N34">
        <f t="shared" si="4"/>
        <v>0</v>
      </c>
      <c r="O34">
        <f t="shared" si="4"/>
        <v>0</v>
      </c>
      <c r="P34">
        <f t="shared" si="4"/>
        <v>0</v>
      </c>
    </row>
    <row r="35" spans="2:16" x14ac:dyDescent="0.2">
      <c r="B35">
        <f t="shared" si="1"/>
        <v>405.70000000000022</v>
      </c>
      <c r="C35">
        <f t="shared" si="2"/>
        <v>13299.999999999784</v>
      </c>
      <c r="D35">
        <f t="shared" si="3"/>
        <v>0</v>
      </c>
      <c r="E35">
        <f t="shared" si="4"/>
        <v>13299.999999999784</v>
      </c>
      <c r="F35">
        <f t="shared" si="4"/>
        <v>0</v>
      </c>
      <c r="G35">
        <f t="shared" si="4"/>
        <v>0</v>
      </c>
      <c r="H35">
        <f t="shared" si="4"/>
        <v>0</v>
      </c>
      <c r="I35">
        <f t="shared" si="4"/>
        <v>0</v>
      </c>
      <c r="J35">
        <f t="shared" si="4"/>
        <v>0</v>
      </c>
      <c r="K35">
        <f t="shared" si="4"/>
        <v>0</v>
      </c>
      <c r="L35">
        <f t="shared" si="4"/>
        <v>0</v>
      </c>
      <c r="M35">
        <f t="shared" si="4"/>
        <v>0</v>
      </c>
      <c r="N35">
        <f t="shared" si="4"/>
        <v>0</v>
      </c>
      <c r="O35">
        <f t="shared" si="4"/>
        <v>0</v>
      </c>
      <c r="P35">
        <f t="shared" si="4"/>
        <v>0</v>
      </c>
    </row>
    <row r="36" spans="2:16" x14ac:dyDescent="0.2">
      <c r="B36">
        <f t="shared" si="1"/>
        <v>406.00000000000023</v>
      </c>
      <c r="C36">
        <f t="shared" si="2"/>
        <v>12999.999999999773</v>
      </c>
      <c r="D36">
        <f t="shared" si="3"/>
        <v>0</v>
      </c>
      <c r="E36">
        <f t="shared" si="4"/>
        <v>12999.999999999773</v>
      </c>
      <c r="F36">
        <f t="shared" si="4"/>
        <v>0</v>
      </c>
      <c r="G36">
        <f t="shared" si="4"/>
        <v>0</v>
      </c>
      <c r="H36">
        <f t="shared" si="4"/>
        <v>0</v>
      </c>
      <c r="I36">
        <f t="shared" si="4"/>
        <v>0</v>
      </c>
      <c r="J36">
        <f t="shared" si="4"/>
        <v>0</v>
      </c>
      <c r="K36">
        <f t="shared" si="4"/>
        <v>0</v>
      </c>
      <c r="L36">
        <f t="shared" si="4"/>
        <v>0</v>
      </c>
      <c r="M36">
        <f t="shared" si="4"/>
        <v>0</v>
      </c>
      <c r="N36">
        <f t="shared" si="4"/>
        <v>0</v>
      </c>
      <c r="O36">
        <f t="shared" si="4"/>
        <v>0</v>
      </c>
      <c r="P36">
        <f t="shared" si="4"/>
        <v>0</v>
      </c>
    </row>
    <row r="37" spans="2:16" x14ac:dyDescent="0.2">
      <c r="B37">
        <f t="shared" si="1"/>
        <v>406.30000000000024</v>
      </c>
      <c r="C37">
        <f t="shared" si="2"/>
        <v>12699.999999999762</v>
      </c>
      <c r="D37">
        <f t="shared" si="3"/>
        <v>0</v>
      </c>
      <c r="E37">
        <f t="shared" si="4"/>
        <v>12699.999999999762</v>
      </c>
      <c r="F37">
        <f t="shared" si="4"/>
        <v>0</v>
      </c>
      <c r="G37">
        <f t="shared" si="4"/>
        <v>0</v>
      </c>
      <c r="H37">
        <f t="shared" si="4"/>
        <v>0</v>
      </c>
      <c r="I37">
        <f t="shared" si="4"/>
        <v>0</v>
      </c>
      <c r="J37">
        <f t="shared" si="4"/>
        <v>0</v>
      </c>
      <c r="K37">
        <f t="shared" si="4"/>
        <v>0</v>
      </c>
      <c r="L37">
        <f t="shared" si="4"/>
        <v>0</v>
      </c>
      <c r="M37">
        <f t="shared" si="4"/>
        <v>0</v>
      </c>
      <c r="N37">
        <f t="shared" si="4"/>
        <v>0</v>
      </c>
      <c r="O37">
        <f t="shared" si="4"/>
        <v>0</v>
      </c>
      <c r="P37">
        <f t="shared" si="4"/>
        <v>0</v>
      </c>
    </row>
    <row r="38" spans="2:16" x14ac:dyDescent="0.2">
      <c r="B38">
        <f t="shared" si="1"/>
        <v>406.60000000000025</v>
      </c>
      <c r="C38">
        <f t="shared" si="2"/>
        <v>12399.999999999749</v>
      </c>
      <c r="D38">
        <f t="shared" si="3"/>
        <v>0</v>
      </c>
      <c r="E38">
        <f t="shared" si="4"/>
        <v>12399.999999999749</v>
      </c>
      <c r="F38">
        <f t="shared" si="4"/>
        <v>0</v>
      </c>
      <c r="G38">
        <f t="shared" si="4"/>
        <v>0</v>
      </c>
      <c r="H38">
        <f t="shared" si="4"/>
        <v>0</v>
      </c>
      <c r="I38">
        <f t="shared" si="4"/>
        <v>0</v>
      </c>
      <c r="J38">
        <f t="shared" si="4"/>
        <v>0</v>
      </c>
      <c r="K38">
        <f t="shared" si="4"/>
        <v>0</v>
      </c>
      <c r="L38">
        <f t="shared" si="4"/>
        <v>0</v>
      </c>
      <c r="M38">
        <f t="shared" si="4"/>
        <v>0</v>
      </c>
      <c r="N38">
        <f t="shared" si="4"/>
        <v>0</v>
      </c>
      <c r="O38">
        <f t="shared" si="4"/>
        <v>0</v>
      </c>
      <c r="P38">
        <f t="shared" si="4"/>
        <v>0</v>
      </c>
    </row>
    <row r="39" spans="2:16" x14ac:dyDescent="0.2">
      <c r="B39">
        <f t="shared" si="1"/>
        <v>406.90000000000026</v>
      </c>
      <c r="C39">
        <f t="shared" si="2"/>
        <v>12099.999999999738</v>
      </c>
      <c r="D39">
        <f t="shared" si="3"/>
        <v>0</v>
      </c>
      <c r="E39">
        <f t="shared" si="4"/>
        <v>12099.999999999738</v>
      </c>
      <c r="F39">
        <f t="shared" si="4"/>
        <v>0</v>
      </c>
      <c r="G39">
        <f t="shared" si="4"/>
        <v>0</v>
      </c>
      <c r="H39">
        <f t="shared" si="4"/>
        <v>0</v>
      </c>
      <c r="I39">
        <f t="shared" si="4"/>
        <v>0</v>
      </c>
      <c r="J39">
        <f t="shared" si="4"/>
        <v>0</v>
      </c>
      <c r="K39">
        <f t="shared" si="4"/>
        <v>0</v>
      </c>
      <c r="L39">
        <f t="shared" si="4"/>
        <v>0</v>
      </c>
      <c r="M39">
        <f t="shared" si="4"/>
        <v>0</v>
      </c>
      <c r="N39">
        <f t="shared" si="4"/>
        <v>0</v>
      </c>
      <c r="O39">
        <f t="shared" si="4"/>
        <v>0</v>
      </c>
      <c r="P39">
        <f t="shared" si="4"/>
        <v>0</v>
      </c>
    </row>
    <row r="40" spans="2:16" x14ac:dyDescent="0.2">
      <c r="B40">
        <f t="shared" si="1"/>
        <v>407.20000000000027</v>
      </c>
      <c r="C40">
        <f t="shared" si="2"/>
        <v>11799.999999999727</v>
      </c>
      <c r="D40">
        <f t="shared" si="3"/>
        <v>0</v>
      </c>
      <c r="E40">
        <f t="shared" si="4"/>
        <v>11799.999999999727</v>
      </c>
      <c r="F40">
        <f t="shared" si="4"/>
        <v>0</v>
      </c>
      <c r="G40">
        <f t="shared" si="4"/>
        <v>0</v>
      </c>
      <c r="H40">
        <f t="shared" si="4"/>
        <v>0</v>
      </c>
      <c r="I40">
        <f t="shared" si="4"/>
        <v>0</v>
      </c>
      <c r="J40">
        <f t="shared" si="4"/>
        <v>0</v>
      </c>
      <c r="K40">
        <f t="shared" si="4"/>
        <v>0</v>
      </c>
      <c r="L40">
        <f t="shared" si="4"/>
        <v>0</v>
      </c>
      <c r="M40">
        <f t="shared" si="4"/>
        <v>0</v>
      </c>
      <c r="N40">
        <f t="shared" si="4"/>
        <v>0</v>
      </c>
      <c r="O40">
        <f t="shared" si="4"/>
        <v>0</v>
      </c>
      <c r="P40">
        <f t="shared" si="4"/>
        <v>0</v>
      </c>
    </row>
    <row r="41" spans="2:16" x14ac:dyDescent="0.2">
      <c r="B41">
        <f t="shared" si="1"/>
        <v>407.50000000000028</v>
      </c>
      <c r="C41">
        <f t="shared" si="2"/>
        <v>11499.999999999716</v>
      </c>
      <c r="D41">
        <f t="shared" si="3"/>
        <v>0</v>
      </c>
      <c r="E41">
        <f t="shared" si="4"/>
        <v>11499.999999999716</v>
      </c>
      <c r="F41">
        <f t="shared" si="4"/>
        <v>0</v>
      </c>
      <c r="G41">
        <f t="shared" si="4"/>
        <v>0</v>
      </c>
      <c r="H41">
        <f t="shared" si="4"/>
        <v>0</v>
      </c>
      <c r="I41">
        <f t="shared" si="4"/>
        <v>0</v>
      </c>
      <c r="J41">
        <f t="shared" si="4"/>
        <v>0</v>
      </c>
      <c r="K41">
        <f t="shared" si="4"/>
        <v>0</v>
      </c>
      <c r="L41">
        <f t="shared" si="4"/>
        <v>0</v>
      </c>
      <c r="M41">
        <f t="shared" si="4"/>
        <v>0</v>
      </c>
      <c r="N41">
        <f t="shared" si="4"/>
        <v>0</v>
      </c>
      <c r="O41">
        <f t="shared" si="4"/>
        <v>0</v>
      </c>
      <c r="P41">
        <f t="shared" si="4"/>
        <v>0</v>
      </c>
    </row>
    <row r="42" spans="2:16" x14ac:dyDescent="0.2">
      <c r="B42">
        <f t="shared" si="1"/>
        <v>407.8000000000003</v>
      </c>
      <c r="C42">
        <f t="shared" si="2"/>
        <v>11199.999999999705</v>
      </c>
      <c r="D42">
        <f t="shared" si="3"/>
        <v>0</v>
      </c>
      <c r="E42">
        <f t="shared" si="4"/>
        <v>11199.999999999705</v>
      </c>
      <c r="F42">
        <f t="shared" si="4"/>
        <v>0</v>
      </c>
      <c r="G42">
        <f t="shared" si="4"/>
        <v>0</v>
      </c>
      <c r="H42">
        <f t="shared" si="4"/>
        <v>0</v>
      </c>
      <c r="I42">
        <f t="shared" si="4"/>
        <v>0</v>
      </c>
      <c r="J42">
        <f t="shared" si="4"/>
        <v>0</v>
      </c>
      <c r="K42">
        <f t="shared" si="4"/>
        <v>0</v>
      </c>
      <c r="L42">
        <f t="shared" si="4"/>
        <v>0</v>
      </c>
      <c r="M42">
        <f t="shared" si="4"/>
        <v>0</v>
      </c>
      <c r="N42">
        <f t="shared" si="4"/>
        <v>0</v>
      </c>
      <c r="O42">
        <f t="shared" si="4"/>
        <v>0</v>
      </c>
      <c r="P42">
        <f t="shared" si="4"/>
        <v>0</v>
      </c>
    </row>
    <row r="43" spans="2:16" x14ac:dyDescent="0.2">
      <c r="B43">
        <f t="shared" si="1"/>
        <v>408.10000000000031</v>
      </c>
      <c r="C43">
        <f t="shared" si="2"/>
        <v>10899.999999999693</v>
      </c>
      <c r="D43">
        <f t="shared" si="3"/>
        <v>0</v>
      </c>
      <c r="E43">
        <f t="shared" si="4"/>
        <v>10899.999999999693</v>
      </c>
      <c r="F43">
        <f t="shared" si="4"/>
        <v>0</v>
      </c>
      <c r="G43">
        <f t="shared" si="4"/>
        <v>0</v>
      </c>
      <c r="H43">
        <f t="shared" si="4"/>
        <v>0</v>
      </c>
      <c r="I43">
        <f t="shared" si="4"/>
        <v>0</v>
      </c>
      <c r="J43">
        <f t="shared" si="4"/>
        <v>0</v>
      </c>
      <c r="K43">
        <f t="shared" si="4"/>
        <v>0</v>
      </c>
      <c r="L43">
        <f t="shared" si="4"/>
        <v>0</v>
      </c>
      <c r="M43">
        <f t="shared" si="4"/>
        <v>0</v>
      </c>
      <c r="N43">
        <f t="shared" si="4"/>
        <v>0</v>
      </c>
      <c r="O43">
        <f t="shared" si="4"/>
        <v>0</v>
      </c>
      <c r="P43">
        <f t="shared" si="4"/>
        <v>0</v>
      </c>
    </row>
    <row r="44" spans="2:16" x14ac:dyDescent="0.2">
      <c r="B44">
        <f t="shared" si="1"/>
        <v>408.40000000000032</v>
      </c>
      <c r="C44">
        <f t="shared" si="2"/>
        <v>10599.999999999682</v>
      </c>
      <c r="D44">
        <f t="shared" si="3"/>
        <v>0</v>
      </c>
      <c r="E44">
        <f t="shared" si="4"/>
        <v>10599.999999999682</v>
      </c>
      <c r="F44">
        <f t="shared" si="4"/>
        <v>0</v>
      </c>
      <c r="G44">
        <f t="shared" si="4"/>
        <v>0</v>
      </c>
      <c r="H44">
        <f t="shared" si="4"/>
        <v>0</v>
      </c>
      <c r="I44">
        <f t="shared" si="4"/>
        <v>0</v>
      </c>
      <c r="J44">
        <f t="shared" si="4"/>
        <v>0</v>
      </c>
      <c r="K44">
        <f t="shared" si="4"/>
        <v>0</v>
      </c>
      <c r="L44">
        <f t="shared" si="4"/>
        <v>0</v>
      </c>
      <c r="M44">
        <f t="shared" si="4"/>
        <v>0</v>
      </c>
      <c r="N44">
        <f t="shared" si="4"/>
        <v>0</v>
      </c>
      <c r="O44">
        <f t="shared" si="4"/>
        <v>0</v>
      </c>
      <c r="P44">
        <f t="shared" si="4"/>
        <v>0</v>
      </c>
    </row>
    <row r="45" spans="2:16" x14ac:dyDescent="0.2">
      <c r="B45">
        <f t="shared" si="1"/>
        <v>408.70000000000033</v>
      </c>
      <c r="C45">
        <f t="shared" si="2"/>
        <v>10299.999999999671</v>
      </c>
      <c r="D45">
        <f t="shared" si="3"/>
        <v>0</v>
      </c>
      <c r="E45">
        <f t="shared" si="4"/>
        <v>10299.999999999671</v>
      </c>
      <c r="F45">
        <f t="shared" si="4"/>
        <v>0</v>
      </c>
      <c r="G45">
        <f t="shared" si="4"/>
        <v>0</v>
      </c>
      <c r="H45">
        <f t="shared" si="4"/>
        <v>0</v>
      </c>
      <c r="I45">
        <f t="shared" si="4"/>
        <v>0</v>
      </c>
      <c r="J45">
        <f t="shared" si="4"/>
        <v>0</v>
      </c>
      <c r="K45">
        <f t="shared" si="4"/>
        <v>0</v>
      </c>
      <c r="L45">
        <f t="shared" si="4"/>
        <v>0</v>
      </c>
      <c r="M45">
        <f t="shared" si="4"/>
        <v>0</v>
      </c>
      <c r="N45">
        <f t="shared" si="4"/>
        <v>0</v>
      </c>
      <c r="O45">
        <f t="shared" si="4"/>
        <v>0</v>
      </c>
      <c r="P45">
        <f t="shared" si="4"/>
        <v>0</v>
      </c>
    </row>
    <row r="46" spans="2:16" x14ac:dyDescent="0.2">
      <c r="B46">
        <f t="shared" si="1"/>
        <v>409.00000000000034</v>
      </c>
      <c r="C46">
        <f t="shared" si="2"/>
        <v>9999.999999999658</v>
      </c>
      <c r="D46">
        <f t="shared" si="3"/>
        <v>0</v>
      </c>
      <c r="E46">
        <f t="shared" si="4"/>
        <v>9999.999999999658</v>
      </c>
      <c r="F46">
        <f t="shared" si="4"/>
        <v>0</v>
      </c>
      <c r="G46">
        <f t="shared" si="4"/>
        <v>0</v>
      </c>
      <c r="H46">
        <f t="shared" si="4"/>
        <v>0</v>
      </c>
      <c r="I46">
        <f t="shared" si="4"/>
        <v>0</v>
      </c>
      <c r="J46">
        <f t="shared" si="4"/>
        <v>0</v>
      </c>
      <c r="K46">
        <f t="shared" si="4"/>
        <v>0</v>
      </c>
      <c r="L46">
        <f t="shared" si="4"/>
        <v>0</v>
      </c>
      <c r="M46">
        <f t="shared" si="4"/>
        <v>0</v>
      </c>
      <c r="N46">
        <f t="shared" si="4"/>
        <v>0</v>
      </c>
      <c r="O46">
        <f t="shared" si="4"/>
        <v>0</v>
      </c>
      <c r="P46">
        <f t="shared" si="4"/>
        <v>0</v>
      </c>
    </row>
    <row r="47" spans="2:16" x14ac:dyDescent="0.2">
      <c r="B47">
        <f t="shared" si="1"/>
        <v>409.30000000000035</v>
      </c>
      <c r="C47">
        <f t="shared" si="2"/>
        <v>9699.9999999996471</v>
      </c>
      <c r="D47">
        <f t="shared" si="3"/>
        <v>0</v>
      </c>
      <c r="E47">
        <f t="shared" si="4"/>
        <v>9699.9999999996471</v>
      </c>
      <c r="F47">
        <f t="shared" si="4"/>
        <v>0</v>
      </c>
      <c r="G47">
        <f t="shared" si="4"/>
        <v>0</v>
      </c>
      <c r="H47">
        <f t="shared" si="4"/>
        <v>0</v>
      </c>
      <c r="I47">
        <f t="shared" si="4"/>
        <v>0</v>
      </c>
      <c r="J47">
        <f t="shared" si="4"/>
        <v>0</v>
      </c>
      <c r="K47">
        <f t="shared" si="4"/>
        <v>0</v>
      </c>
      <c r="L47">
        <f t="shared" si="4"/>
        <v>0</v>
      </c>
      <c r="M47">
        <f t="shared" si="4"/>
        <v>0</v>
      </c>
      <c r="N47">
        <f t="shared" si="4"/>
        <v>0</v>
      </c>
      <c r="O47">
        <f t="shared" si="4"/>
        <v>0</v>
      </c>
      <c r="P47">
        <f t="shared" si="4"/>
        <v>0</v>
      </c>
    </row>
    <row r="48" spans="2:16" x14ac:dyDescent="0.2">
      <c r="B48">
        <f t="shared" si="1"/>
        <v>409.60000000000036</v>
      </c>
      <c r="C48">
        <f t="shared" si="2"/>
        <v>9399.9999999996362</v>
      </c>
      <c r="D48">
        <f t="shared" si="3"/>
        <v>0</v>
      </c>
      <c r="E48">
        <f t="shared" si="4"/>
        <v>9399.9999999996362</v>
      </c>
      <c r="F48">
        <f t="shared" si="4"/>
        <v>0</v>
      </c>
      <c r="G48">
        <f t="shared" si="4"/>
        <v>0</v>
      </c>
      <c r="H48">
        <f t="shared" si="4"/>
        <v>0</v>
      </c>
      <c r="I48">
        <f t="shared" si="4"/>
        <v>0</v>
      </c>
      <c r="J48">
        <f t="shared" si="4"/>
        <v>0</v>
      </c>
      <c r="K48">
        <f t="shared" si="4"/>
        <v>0</v>
      </c>
      <c r="L48">
        <f t="shared" si="4"/>
        <v>0</v>
      </c>
      <c r="M48">
        <f t="shared" si="4"/>
        <v>0</v>
      </c>
      <c r="N48">
        <f t="shared" si="4"/>
        <v>0</v>
      </c>
      <c r="O48">
        <f t="shared" si="4"/>
        <v>0</v>
      </c>
      <c r="P48">
        <f t="shared" si="4"/>
        <v>0</v>
      </c>
    </row>
    <row r="49" spans="2:16" x14ac:dyDescent="0.2">
      <c r="B49">
        <f t="shared" ref="B49:B80" si="5">B48+$C$14</f>
        <v>409.90000000000038</v>
      </c>
      <c r="C49">
        <f t="shared" si="2"/>
        <v>9099.9999999996253</v>
      </c>
      <c r="D49">
        <f t="shared" si="3"/>
        <v>0</v>
      </c>
      <c r="E49">
        <f t="shared" ref="E49:P70" si="6">IF(OR(E$8="--Select",E$9="--Select"),0,1)*IF(E$8="Call",MAX(0,$B49-E$10)-E$11,MAX(0,E$10-$B49)-E$11)*IF(E$9="Long",1,-1)*E$12*100</f>
        <v>9099.9999999996253</v>
      </c>
      <c r="F49">
        <f t="shared" si="6"/>
        <v>0</v>
      </c>
      <c r="G49">
        <f t="shared" si="6"/>
        <v>0</v>
      </c>
      <c r="H49">
        <f t="shared" si="6"/>
        <v>0</v>
      </c>
      <c r="I49">
        <f t="shared" si="6"/>
        <v>0</v>
      </c>
      <c r="J49">
        <f t="shared" si="6"/>
        <v>0</v>
      </c>
      <c r="K49">
        <f t="shared" si="6"/>
        <v>0</v>
      </c>
      <c r="L49">
        <f t="shared" si="6"/>
        <v>0</v>
      </c>
      <c r="M49">
        <f t="shared" si="6"/>
        <v>0</v>
      </c>
      <c r="N49">
        <f t="shared" si="6"/>
        <v>0</v>
      </c>
      <c r="O49">
        <f t="shared" si="6"/>
        <v>0</v>
      </c>
      <c r="P49">
        <f t="shared" si="6"/>
        <v>0</v>
      </c>
    </row>
    <row r="50" spans="2:16" x14ac:dyDescent="0.2">
      <c r="B50">
        <f t="shared" si="5"/>
        <v>410.20000000000039</v>
      </c>
      <c r="C50">
        <f t="shared" si="2"/>
        <v>8799.9999999996144</v>
      </c>
      <c r="D50">
        <f t="shared" si="3"/>
        <v>0</v>
      </c>
      <c r="E50">
        <f t="shared" si="6"/>
        <v>8799.9999999996144</v>
      </c>
      <c r="F50">
        <f t="shared" si="6"/>
        <v>0</v>
      </c>
      <c r="G50">
        <f t="shared" si="6"/>
        <v>0</v>
      </c>
      <c r="H50">
        <f t="shared" si="6"/>
        <v>0</v>
      </c>
      <c r="I50">
        <f t="shared" si="6"/>
        <v>0</v>
      </c>
      <c r="J50">
        <f t="shared" si="6"/>
        <v>0</v>
      </c>
      <c r="K50">
        <f t="shared" si="6"/>
        <v>0</v>
      </c>
      <c r="L50">
        <f t="shared" si="6"/>
        <v>0</v>
      </c>
      <c r="M50">
        <f t="shared" si="6"/>
        <v>0</v>
      </c>
      <c r="N50">
        <f t="shared" si="6"/>
        <v>0</v>
      </c>
      <c r="O50">
        <f t="shared" si="6"/>
        <v>0</v>
      </c>
      <c r="P50">
        <f t="shared" si="6"/>
        <v>0</v>
      </c>
    </row>
    <row r="51" spans="2:16" x14ac:dyDescent="0.2">
      <c r="B51">
        <f t="shared" si="5"/>
        <v>410.5000000000004</v>
      </c>
      <c r="C51">
        <f t="shared" si="2"/>
        <v>8499.9999999996016</v>
      </c>
      <c r="D51">
        <f t="shared" si="3"/>
        <v>0</v>
      </c>
      <c r="E51">
        <f t="shared" si="6"/>
        <v>8499.9999999996016</v>
      </c>
      <c r="F51">
        <f t="shared" si="6"/>
        <v>0</v>
      </c>
      <c r="G51">
        <f t="shared" si="6"/>
        <v>0</v>
      </c>
      <c r="H51">
        <f t="shared" si="6"/>
        <v>0</v>
      </c>
      <c r="I51">
        <f t="shared" si="6"/>
        <v>0</v>
      </c>
      <c r="J51">
        <f t="shared" si="6"/>
        <v>0</v>
      </c>
      <c r="K51">
        <f t="shared" si="6"/>
        <v>0</v>
      </c>
      <c r="L51">
        <f t="shared" si="6"/>
        <v>0</v>
      </c>
      <c r="M51">
        <f t="shared" si="6"/>
        <v>0</v>
      </c>
      <c r="N51">
        <f t="shared" si="6"/>
        <v>0</v>
      </c>
      <c r="O51">
        <f t="shared" si="6"/>
        <v>0</v>
      </c>
      <c r="P51">
        <f t="shared" si="6"/>
        <v>0</v>
      </c>
    </row>
    <row r="52" spans="2:16" x14ac:dyDescent="0.2">
      <c r="B52">
        <f t="shared" si="5"/>
        <v>410.80000000000041</v>
      </c>
      <c r="C52">
        <f t="shared" si="2"/>
        <v>8199.9999999995907</v>
      </c>
      <c r="D52">
        <f t="shared" si="3"/>
        <v>0</v>
      </c>
      <c r="E52">
        <f t="shared" si="6"/>
        <v>8199.9999999995907</v>
      </c>
      <c r="F52">
        <f t="shared" si="6"/>
        <v>0</v>
      </c>
      <c r="G52">
        <f t="shared" si="6"/>
        <v>0</v>
      </c>
      <c r="H52">
        <f t="shared" si="6"/>
        <v>0</v>
      </c>
      <c r="I52">
        <f t="shared" si="6"/>
        <v>0</v>
      </c>
      <c r="J52">
        <f t="shared" si="6"/>
        <v>0</v>
      </c>
      <c r="K52">
        <f t="shared" si="6"/>
        <v>0</v>
      </c>
      <c r="L52">
        <f t="shared" si="6"/>
        <v>0</v>
      </c>
      <c r="M52">
        <f t="shared" si="6"/>
        <v>0</v>
      </c>
      <c r="N52">
        <f t="shared" si="6"/>
        <v>0</v>
      </c>
      <c r="O52">
        <f t="shared" si="6"/>
        <v>0</v>
      </c>
      <c r="P52">
        <f t="shared" si="6"/>
        <v>0</v>
      </c>
    </row>
    <row r="53" spans="2:16" x14ac:dyDescent="0.2">
      <c r="B53">
        <f t="shared" si="5"/>
        <v>411.10000000000042</v>
      </c>
      <c r="C53">
        <f t="shared" si="2"/>
        <v>7899.9999999995798</v>
      </c>
      <c r="D53">
        <f t="shared" si="3"/>
        <v>0</v>
      </c>
      <c r="E53">
        <f t="shared" si="6"/>
        <v>7899.9999999995798</v>
      </c>
      <c r="F53">
        <f t="shared" si="6"/>
        <v>0</v>
      </c>
      <c r="G53">
        <f t="shared" si="6"/>
        <v>0</v>
      </c>
      <c r="H53">
        <f t="shared" si="6"/>
        <v>0</v>
      </c>
      <c r="I53">
        <f t="shared" si="6"/>
        <v>0</v>
      </c>
      <c r="J53">
        <f t="shared" si="6"/>
        <v>0</v>
      </c>
      <c r="K53">
        <f t="shared" si="6"/>
        <v>0</v>
      </c>
      <c r="L53">
        <f t="shared" si="6"/>
        <v>0</v>
      </c>
      <c r="M53">
        <f t="shared" si="6"/>
        <v>0</v>
      </c>
      <c r="N53">
        <f t="shared" si="6"/>
        <v>0</v>
      </c>
      <c r="O53">
        <f t="shared" si="6"/>
        <v>0</v>
      </c>
      <c r="P53">
        <f t="shared" si="6"/>
        <v>0</v>
      </c>
    </row>
    <row r="54" spans="2:16" x14ac:dyDescent="0.2">
      <c r="B54">
        <f t="shared" si="5"/>
        <v>411.40000000000043</v>
      </c>
      <c r="C54">
        <f t="shared" si="2"/>
        <v>7599.999999999568</v>
      </c>
      <c r="D54">
        <f t="shared" si="3"/>
        <v>0</v>
      </c>
      <c r="E54">
        <f t="shared" si="6"/>
        <v>7599.999999999568</v>
      </c>
      <c r="F54">
        <f t="shared" si="6"/>
        <v>0</v>
      </c>
      <c r="G54">
        <f t="shared" si="6"/>
        <v>0</v>
      </c>
      <c r="H54">
        <f t="shared" si="6"/>
        <v>0</v>
      </c>
      <c r="I54">
        <f t="shared" si="6"/>
        <v>0</v>
      </c>
      <c r="J54">
        <f t="shared" si="6"/>
        <v>0</v>
      </c>
      <c r="K54">
        <f t="shared" si="6"/>
        <v>0</v>
      </c>
      <c r="L54">
        <f t="shared" si="6"/>
        <v>0</v>
      </c>
      <c r="M54">
        <f t="shared" si="6"/>
        <v>0</v>
      </c>
      <c r="N54">
        <f t="shared" si="6"/>
        <v>0</v>
      </c>
      <c r="O54">
        <f t="shared" si="6"/>
        <v>0</v>
      </c>
      <c r="P54">
        <f t="shared" si="6"/>
        <v>0</v>
      </c>
    </row>
    <row r="55" spans="2:16" x14ac:dyDescent="0.2">
      <c r="B55">
        <f t="shared" si="5"/>
        <v>411.70000000000044</v>
      </c>
      <c r="C55">
        <f t="shared" si="2"/>
        <v>7299.9999999995562</v>
      </c>
      <c r="D55">
        <f t="shared" si="3"/>
        <v>0</v>
      </c>
      <c r="E55">
        <f t="shared" si="6"/>
        <v>7299.9999999995562</v>
      </c>
      <c r="F55">
        <f t="shared" si="6"/>
        <v>0</v>
      </c>
      <c r="G55">
        <f t="shared" si="6"/>
        <v>0</v>
      </c>
      <c r="H55">
        <f t="shared" si="6"/>
        <v>0</v>
      </c>
      <c r="I55">
        <f t="shared" si="6"/>
        <v>0</v>
      </c>
      <c r="J55">
        <f t="shared" si="6"/>
        <v>0</v>
      </c>
      <c r="K55">
        <f t="shared" si="6"/>
        <v>0</v>
      </c>
      <c r="L55">
        <f t="shared" si="6"/>
        <v>0</v>
      </c>
      <c r="M55">
        <f t="shared" si="6"/>
        <v>0</v>
      </c>
      <c r="N55">
        <f t="shared" si="6"/>
        <v>0</v>
      </c>
      <c r="O55">
        <f t="shared" si="6"/>
        <v>0</v>
      </c>
      <c r="P55">
        <f t="shared" si="6"/>
        <v>0</v>
      </c>
    </row>
    <row r="56" spans="2:16" x14ac:dyDescent="0.2">
      <c r="B56">
        <f t="shared" si="5"/>
        <v>412.00000000000045</v>
      </c>
      <c r="C56">
        <f t="shared" si="2"/>
        <v>6999.9999999995453</v>
      </c>
      <c r="D56">
        <f t="shared" si="3"/>
        <v>0</v>
      </c>
      <c r="E56">
        <f t="shared" si="6"/>
        <v>6999.9999999995453</v>
      </c>
      <c r="F56">
        <f t="shared" si="6"/>
        <v>0</v>
      </c>
      <c r="G56">
        <f t="shared" si="6"/>
        <v>0</v>
      </c>
      <c r="H56">
        <f t="shared" si="6"/>
        <v>0</v>
      </c>
      <c r="I56">
        <f t="shared" si="6"/>
        <v>0</v>
      </c>
      <c r="J56">
        <f t="shared" si="6"/>
        <v>0</v>
      </c>
      <c r="K56">
        <f t="shared" si="6"/>
        <v>0</v>
      </c>
      <c r="L56">
        <f t="shared" si="6"/>
        <v>0</v>
      </c>
      <c r="M56">
        <f t="shared" si="6"/>
        <v>0</v>
      </c>
      <c r="N56">
        <f t="shared" si="6"/>
        <v>0</v>
      </c>
      <c r="O56">
        <f t="shared" si="6"/>
        <v>0</v>
      </c>
      <c r="P56">
        <f t="shared" si="6"/>
        <v>0</v>
      </c>
    </row>
    <row r="57" spans="2:16" x14ac:dyDescent="0.2">
      <c r="B57">
        <f t="shared" si="5"/>
        <v>412.30000000000047</v>
      </c>
      <c r="C57">
        <f t="shared" si="2"/>
        <v>6699.9999999995343</v>
      </c>
      <c r="D57">
        <f t="shared" si="3"/>
        <v>0</v>
      </c>
      <c r="E57">
        <f t="shared" si="6"/>
        <v>6699.9999999995343</v>
      </c>
      <c r="F57">
        <f t="shared" si="6"/>
        <v>0</v>
      </c>
      <c r="G57">
        <f t="shared" si="6"/>
        <v>0</v>
      </c>
      <c r="H57">
        <f t="shared" si="6"/>
        <v>0</v>
      </c>
      <c r="I57">
        <f t="shared" si="6"/>
        <v>0</v>
      </c>
      <c r="J57">
        <f t="shared" si="6"/>
        <v>0</v>
      </c>
      <c r="K57">
        <f t="shared" si="6"/>
        <v>0</v>
      </c>
      <c r="L57">
        <f t="shared" si="6"/>
        <v>0</v>
      </c>
      <c r="M57">
        <f t="shared" si="6"/>
        <v>0</v>
      </c>
      <c r="N57">
        <f t="shared" si="6"/>
        <v>0</v>
      </c>
      <c r="O57">
        <f t="shared" si="6"/>
        <v>0</v>
      </c>
      <c r="P57">
        <f t="shared" si="6"/>
        <v>0</v>
      </c>
    </row>
    <row r="58" spans="2:16" x14ac:dyDescent="0.2">
      <c r="B58">
        <f t="shared" si="5"/>
        <v>412.60000000000048</v>
      </c>
      <c r="C58">
        <f t="shared" si="2"/>
        <v>6399.9999999995225</v>
      </c>
      <c r="D58">
        <f t="shared" si="3"/>
        <v>0</v>
      </c>
      <c r="E58">
        <f t="shared" si="6"/>
        <v>6399.9999999995225</v>
      </c>
      <c r="F58">
        <f t="shared" si="6"/>
        <v>0</v>
      </c>
      <c r="G58">
        <f t="shared" si="6"/>
        <v>0</v>
      </c>
      <c r="H58">
        <f t="shared" si="6"/>
        <v>0</v>
      </c>
      <c r="I58">
        <f t="shared" si="6"/>
        <v>0</v>
      </c>
      <c r="J58">
        <f t="shared" si="6"/>
        <v>0</v>
      </c>
      <c r="K58">
        <f t="shared" si="6"/>
        <v>0</v>
      </c>
      <c r="L58">
        <f t="shared" si="6"/>
        <v>0</v>
      </c>
      <c r="M58">
        <f t="shared" si="6"/>
        <v>0</v>
      </c>
      <c r="N58">
        <f t="shared" si="6"/>
        <v>0</v>
      </c>
      <c r="O58">
        <f t="shared" si="6"/>
        <v>0</v>
      </c>
      <c r="P58">
        <f t="shared" si="6"/>
        <v>0</v>
      </c>
    </row>
    <row r="59" spans="2:16" x14ac:dyDescent="0.2">
      <c r="B59">
        <f t="shared" si="5"/>
        <v>412.90000000000049</v>
      </c>
      <c r="C59">
        <f t="shared" si="2"/>
        <v>6099.9999999995107</v>
      </c>
      <c r="D59">
        <f t="shared" si="3"/>
        <v>0</v>
      </c>
      <c r="E59">
        <f t="shared" si="6"/>
        <v>6099.9999999995107</v>
      </c>
      <c r="F59">
        <f t="shared" si="6"/>
        <v>0</v>
      </c>
      <c r="G59">
        <f t="shared" si="6"/>
        <v>0</v>
      </c>
      <c r="H59">
        <f t="shared" si="6"/>
        <v>0</v>
      </c>
      <c r="I59">
        <f t="shared" si="6"/>
        <v>0</v>
      </c>
      <c r="J59">
        <f t="shared" si="6"/>
        <v>0</v>
      </c>
      <c r="K59">
        <f t="shared" si="6"/>
        <v>0</v>
      </c>
      <c r="L59">
        <f t="shared" si="6"/>
        <v>0</v>
      </c>
      <c r="M59">
        <f t="shared" si="6"/>
        <v>0</v>
      </c>
      <c r="N59">
        <f t="shared" si="6"/>
        <v>0</v>
      </c>
      <c r="O59">
        <f t="shared" si="6"/>
        <v>0</v>
      </c>
      <c r="P59">
        <f t="shared" si="6"/>
        <v>0</v>
      </c>
    </row>
    <row r="60" spans="2:16" x14ac:dyDescent="0.2">
      <c r="B60">
        <f t="shared" si="5"/>
        <v>413.2000000000005</v>
      </c>
      <c r="C60">
        <f t="shared" si="2"/>
        <v>5799.9999999994998</v>
      </c>
      <c r="D60">
        <f t="shared" si="3"/>
        <v>0</v>
      </c>
      <c r="E60">
        <f t="shared" si="6"/>
        <v>5799.9999999994998</v>
      </c>
      <c r="F60">
        <f t="shared" si="6"/>
        <v>0</v>
      </c>
      <c r="G60">
        <f t="shared" si="6"/>
        <v>0</v>
      </c>
      <c r="H60">
        <f t="shared" si="6"/>
        <v>0</v>
      </c>
      <c r="I60">
        <f t="shared" si="6"/>
        <v>0</v>
      </c>
      <c r="J60">
        <f t="shared" si="6"/>
        <v>0</v>
      </c>
      <c r="K60">
        <f t="shared" si="6"/>
        <v>0</v>
      </c>
      <c r="L60">
        <f t="shared" si="6"/>
        <v>0</v>
      </c>
      <c r="M60">
        <f t="shared" si="6"/>
        <v>0</v>
      </c>
      <c r="N60">
        <f t="shared" si="6"/>
        <v>0</v>
      </c>
      <c r="O60">
        <f t="shared" si="6"/>
        <v>0</v>
      </c>
      <c r="P60">
        <f t="shared" si="6"/>
        <v>0</v>
      </c>
    </row>
    <row r="61" spans="2:16" x14ac:dyDescent="0.2">
      <c r="B61">
        <f t="shared" si="5"/>
        <v>413.50000000000051</v>
      </c>
      <c r="C61">
        <f t="shared" si="2"/>
        <v>5499.9999999994889</v>
      </c>
      <c r="D61">
        <f t="shared" si="3"/>
        <v>0</v>
      </c>
      <c r="E61">
        <f t="shared" si="6"/>
        <v>5499.9999999994889</v>
      </c>
      <c r="F61">
        <f t="shared" si="6"/>
        <v>0</v>
      </c>
      <c r="G61">
        <f t="shared" si="6"/>
        <v>0</v>
      </c>
      <c r="H61">
        <f t="shared" si="6"/>
        <v>0</v>
      </c>
      <c r="I61">
        <f t="shared" si="6"/>
        <v>0</v>
      </c>
      <c r="J61">
        <f t="shared" si="6"/>
        <v>0</v>
      </c>
      <c r="K61">
        <f t="shared" si="6"/>
        <v>0</v>
      </c>
      <c r="L61">
        <f t="shared" si="6"/>
        <v>0</v>
      </c>
      <c r="M61">
        <f t="shared" si="6"/>
        <v>0</v>
      </c>
      <c r="N61">
        <f t="shared" si="6"/>
        <v>0</v>
      </c>
      <c r="O61">
        <f t="shared" si="6"/>
        <v>0</v>
      </c>
      <c r="P61">
        <f t="shared" si="6"/>
        <v>0</v>
      </c>
    </row>
    <row r="62" spans="2:16" x14ac:dyDescent="0.2">
      <c r="B62">
        <f t="shared" si="5"/>
        <v>413.80000000000052</v>
      </c>
      <c r="C62">
        <f t="shared" si="2"/>
        <v>5199.999999999477</v>
      </c>
      <c r="D62">
        <f t="shared" si="3"/>
        <v>0</v>
      </c>
      <c r="E62">
        <f t="shared" si="6"/>
        <v>5199.999999999477</v>
      </c>
      <c r="F62">
        <f t="shared" si="6"/>
        <v>0</v>
      </c>
      <c r="G62">
        <f t="shared" si="6"/>
        <v>0</v>
      </c>
      <c r="H62">
        <f t="shared" si="6"/>
        <v>0</v>
      </c>
      <c r="I62">
        <f t="shared" si="6"/>
        <v>0</v>
      </c>
      <c r="J62">
        <f t="shared" si="6"/>
        <v>0</v>
      </c>
      <c r="K62">
        <f t="shared" si="6"/>
        <v>0</v>
      </c>
      <c r="L62">
        <f t="shared" si="6"/>
        <v>0</v>
      </c>
      <c r="M62">
        <f t="shared" si="6"/>
        <v>0</v>
      </c>
      <c r="N62">
        <f t="shared" si="6"/>
        <v>0</v>
      </c>
      <c r="O62">
        <f t="shared" si="6"/>
        <v>0</v>
      </c>
      <c r="P62">
        <f t="shared" si="6"/>
        <v>0</v>
      </c>
    </row>
    <row r="63" spans="2:16" x14ac:dyDescent="0.2">
      <c r="B63">
        <f t="shared" si="5"/>
        <v>414.10000000000053</v>
      </c>
      <c r="C63">
        <f t="shared" si="2"/>
        <v>4899.9999999994652</v>
      </c>
      <c r="D63">
        <f t="shared" si="3"/>
        <v>0</v>
      </c>
      <c r="E63">
        <f t="shared" si="6"/>
        <v>4899.9999999994652</v>
      </c>
      <c r="F63">
        <f t="shared" si="6"/>
        <v>0</v>
      </c>
      <c r="G63">
        <f t="shared" si="6"/>
        <v>0</v>
      </c>
      <c r="H63">
        <f t="shared" si="6"/>
        <v>0</v>
      </c>
      <c r="I63">
        <f t="shared" si="6"/>
        <v>0</v>
      </c>
      <c r="J63">
        <f t="shared" si="6"/>
        <v>0</v>
      </c>
      <c r="K63">
        <f t="shared" si="6"/>
        <v>0</v>
      </c>
      <c r="L63">
        <f t="shared" si="6"/>
        <v>0</v>
      </c>
      <c r="M63">
        <f t="shared" si="6"/>
        <v>0</v>
      </c>
      <c r="N63">
        <f t="shared" si="6"/>
        <v>0</v>
      </c>
      <c r="O63">
        <f t="shared" si="6"/>
        <v>0</v>
      </c>
      <c r="P63">
        <f t="shared" si="6"/>
        <v>0</v>
      </c>
    </row>
    <row r="64" spans="2:16" x14ac:dyDescent="0.2">
      <c r="B64">
        <f t="shared" si="5"/>
        <v>414.40000000000055</v>
      </c>
      <c r="C64">
        <f t="shared" si="2"/>
        <v>4599.9999999994543</v>
      </c>
      <c r="D64">
        <f t="shared" si="3"/>
        <v>0</v>
      </c>
      <c r="E64">
        <f t="shared" si="6"/>
        <v>4599.9999999994543</v>
      </c>
      <c r="F64">
        <f t="shared" si="6"/>
        <v>0</v>
      </c>
      <c r="G64">
        <f t="shared" si="6"/>
        <v>0</v>
      </c>
      <c r="H64">
        <f t="shared" si="6"/>
        <v>0</v>
      </c>
      <c r="I64">
        <f t="shared" si="6"/>
        <v>0</v>
      </c>
      <c r="J64">
        <f t="shared" si="6"/>
        <v>0</v>
      </c>
      <c r="K64">
        <f t="shared" si="6"/>
        <v>0</v>
      </c>
      <c r="L64">
        <f t="shared" si="6"/>
        <v>0</v>
      </c>
      <c r="M64">
        <f t="shared" si="6"/>
        <v>0</v>
      </c>
      <c r="N64">
        <f t="shared" si="6"/>
        <v>0</v>
      </c>
      <c r="O64">
        <f t="shared" si="6"/>
        <v>0</v>
      </c>
      <c r="P64">
        <f t="shared" si="6"/>
        <v>0</v>
      </c>
    </row>
    <row r="65" spans="2:16" x14ac:dyDescent="0.2">
      <c r="B65">
        <f t="shared" si="5"/>
        <v>414.70000000000056</v>
      </c>
      <c r="C65">
        <f t="shared" si="2"/>
        <v>4299.9999999994434</v>
      </c>
      <c r="D65">
        <f t="shared" si="3"/>
        <v>0</v>
      </c>
      <c r="E65">
        <f t="shared" si="6"/>
        <v>4299.9999999994434</v>
      </c>
      <c r="F65">
        <f t="shared" si="6"/>
        <v>0</v>
      </c>
      <c r="G65">
        <f t="shared" si="6"/>
        <v>0</v>
      </c>
      <c r="H65">
        <f t="shared" si="6"/>
        <v>0</v>
      </c>
      <c r="I65">
        <f t="shared" si="6"/>
        <v>0</v>
      </c>
      <c r="J65">
        <f t="shared" si="6"/>
        <v>0</v>
      </c>
      <c r="K65">
        <f t="shared" si="6"/>
        <v>0</v>
      </c>
      <c r="L65">
        <f t="shared" si="6"/>
        <v>0</v>
      </c>
      <c r="M65">
        <f t="shared" si="6"/>
        <v>0</v>
      </c>
      <c r="N65">
        <f t="shared" si="6"/>
        <v>0</v>
      </c>
      <c r="O65">
        <f t="shared" si="6"/>
        <v>0</v>
      </c>
      <c r="P65">
        <f t="shared" si="6"/>
        <v>0</v>
      </c>
    </row>
    <row r="66" spans="2:16" x14ac:dyDescent="0.2">
      <c r="B66">
        <f t="shared" si="5"/>
        <v>415.00000000000057</v>
      </c>
      <c r="C66">
        <f t="shared" si="2"/>
        <v>3999.9999999994316</v>
      </c>
      <c r="D66">
        <f t="shared" si="3"/>
        <v>0</v>
      </c>
      <c r="E66">
        <f t="shared" si="6"/>
        <v>3999.9999999994316</v>
      </c>
      <c r="F66">
        <f t="shared" si="6"/>
        <v>0</v>
      </c>
      <c r="G66">
        <f t="shared" si="6"/>
        <v>0</v>
      </c>
      <c r="H66">
        <f t="shared" si="6"/>
        <v>0</v>
      </c>
      <c r="I66">
        <f t="shared" si="6"/>
        <v>0</v>
      </c>
      <c r="J66">
        <f t="shared" si="6"/>
        <v>0</v>
      </c>
      <c r="K66">
        <f t="shared" si="6"/>
        <v>0</v>
      </c>
      <c r="L66">
        <f t="shared" si="6"/>
        <v>0</v>
      </c>
      <c r="M66">
        <f t="shared" si="6"/>
        <v>0</v>
      </c>
      <c r="N66">
        <f t="shared" si="6"/>
        <v>0</v>
      </c>
      <c r="O66">
        <f t="shared" si="6"/>
        <v>0</v>
      </c>
      <c r="P66">
        <f t="shared" si="6"/>
        <v>0</v>
      </c>
    </row>
    <row r="67" spans="2:16" x14ac:dyDescent="0.2">
      <c r="B67">
        <f t="shared" si="5"/>
        <v>415.30000000000058</v>
      </c>
      <c r="C67">
        <f t="shared" si="2"/>
        <v>3699.9999999994202</v>
      </c>
      <c r="D67">
        <f t="shared" si="3"/>
        <v>0</v>
      </c>
      <c r="E67">
        <f t="shared" si="6"/>
        <v>3699.9999999994202</v>
      </c>
      <c r="F67">
        <f t="shared" si="6"/>
        <v>0</v>
      </c>
      <c r="G67">
        <f t="shared" si="6"/>
        <v>0</v>
      </c>
      <c r="H67">
        <f t="shared" si="6"/>
        <v>0</v>
      </c>
      <c r="I67">
        <f t="shared" si="6"/>
        <v>0</v>
      </c>
      <c r="J67">
        <f t="shared" si="6"/>
        <v>0</v>
      </c>
      <c r="K67">
        <f t="shared" si="6"/>
        <v>0</v>
      </c>
      <c r="L67">
        <f t="shared" si="6"/>
        <v>0</v>
      </c>
      <c r="M67">
        <f t="shared" si="6"/>
        <v>0</v>
      </c>
      <c r="N67">
        <f t="shared" si="6"/>
        <v>0</v>
      </c>
      <c r="O67">
        <f t="shared" si="6"/>
        <v>0</v>
      </c>
      <c r="P67">
        <f t="shared" si="6"/>
        <v>0</v>
      </c>
    </row>
    <row r="68" spans="2:16" x14ac:dyDescent="0.2">
      <c r="B68">
        <f t="shared" si="5"/>
        <v>415.60000000000059</v>
      </c>
      <c r="C68">
        <f t="shared" si="2"/>
        <v>3399.9999999994088</v>
      </c>
      <c r="D68">
        <f t="shared" si="3"/>
        <v>0</v>
      </c>
      <c r="E68">
        <f t="shared" si="6"/>
        <v>3399.9999999994088</v>
      </c>
      <c r="F68">
        <f t="shared" si="6"/>
        <v>0</v>
      </c>
      <c r="G68">
        <f t="shared" si="6"/>
        <v>0</v>
      </c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0</v>
      </c>
      <c r="M68">
        <f t="shared" si="6"/>
        <v>0</v>
      </c>
      <c r="N68">
        <f t="shared" si="6"/>
        <v>0</v>
      </c>
      <c r="O68">
        <f t="shared" si="6"/>
        <v>0</v>
      </c>
      <c r="P68">
        <f t="shared" si="6"/>
        <v>0</v>
      </c>
    </row>
    <row r="69" spans="2:16" x14ac:dyDescent="0.2">
      <c r="B69">
        <f t="shared" si="5"/>
        <v>415.9000000000006</v>
      </c>
      <c r="C69">
        <f t="shared" si="2"/>
        <v>3099.9999999993975</v>
      </c>
      <c r="D69">
        <f t="shared" si="3"/>
        <v>0</v>
      </c>
      <c r="E69">
        <f t="shared" si="6"/>
        <v>3099.9999999993975</v>
      </c>
      <c r="F69">
        <f t="shared" si="6"/>
        <v>0</v>
      </c>
      <c r="G69">
        <f t="shared" si="6"/>
        <v>0</v>
      </c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>
        <f t="shared" si="6"/>
        <v>0</v>
      </c>
      <c r="N69">
        <f t="shared" si="6"/>
        <v>0</v>
      </c>
      <c r="O69">
        <f t="shared" si="6"/>
        <v>0</v>
      </c>
      <c r="P69">
        <f t="shared" si="6"/>
        <v>0</v>
      </c>
    </row>
    <row r="70" spans="2:16" x14ac:dyDescent="0.2">
      <c r="B70">
        <f t="shared" si="5"/>
        <v>416.20000000000061</v>
      </c>
      <c r="C70">
        <f t="shared" si="2"/>
        <v>2799.9999999993861</v>
      </c>
      <c r="D70">
        <f t="shared" si="3"/>
        <v>0</v>
      </c>
      <c r="E70">
        <f t="shared" si="6"/>
        <v>2799.9999999993861</v>
      </c>
      <c r="F70">
        <f t="shared" si="6"/>
        <v>0</v>
      </c>
      <c r="G70">
        <f t="shared" si="6"/>
        <v>0</v>
      </c>
      <c r="H70">
        <f t="shared" ref="F70:P93" si="7">IF(OR(H$8="--Select",H$9="--Select"),0,1)*IF(H$8="Call",MAX(0,$B70-H$10)-H$11,MAX(0,H$10-$B70)-H$11)*IF(H$9="Long",1,-1)*H$12*100</f>
        <v>0</v>
      </c>
      <c r="I70">
        <f t="shared" si="7"/>
        <v>0</v>
      </c>
      <c r="J70">
        <f t="shared" si="7"/>
        <v>0</v>
      </c>
      <c r="K70">
        <f t="shared" si="7"/>
        <v>0</v>
      </c>
      <c r="L70">
        <f t="shared" si="7"/>
        <v>0</v>
      </c>
      <c r="M70">
        <f t="shared" si="7"/>
        <v>0</v>
      </c>
      <c r="N70">
        <f t="shared" si="7"/>
        <v>0</v>
      </c>
      <c r="O70">
        <f t="shared" si="7"/>
        <v>0</v>
      </c>
      <c r="P70">
        <f t="shared" si="7"/>
        <v>0</v>
      </c>
    </row>
    <row r="71" spans="2:16" x14ac:dyDescent="0.2">
      <c r="B71">
        <f t="shared" si="5"/>
        <v>416.50000000000063</v>
      </c>
      <c r="C71">
        <f t="shared" si="2"/>
        <v>2499.9999999993747</v>
      </c>
      <c r="D71">
        <f t="shared" si="3"/>
        <v>0</v>
      </c>
      <c r="E71">
        <f t="shared" ref="E71:E116" si="8">IF(OR(E$8="--Select",E$9="--Select"),0,1)*IF(E$8="Call",MAX(0,$B71-E$10)-E$11,MAX(0,E$10-$B71)-E$11)*IF(E$9="Long",1,-1)*E$12*100</f>
        <v>2499.9999999993747</v>
      </c>
      <c r="F71">
        <f t="shared" si="7"/>
        <v>0</v>
      </c>
      <c r="G71">
        <f t="shared" si="7"/>
        <v>0</v>
      </c>
      <c r="H71">
        <f t="shared" si="7"/>
        <v>0</v>
      </c>
      <c r="I71">
        <f t="shared" si="7"/>
        <v>0</v>
      </c>
      <c r="J71">
        <f t="shared" si="7"/>
        <v>0</v>
      </c>
      <c r="K71">
        <f t="shared" si="7"/>
        <v>0</v>
      </c>
      <c r="L71">
        <f t="shared" si="7"/>
        <v>0</v>
      </c>
      <c r="M71">
        <f t="shared" si="7"/>
        <v>0</v>
      </c>
      <c r="N71">
        <f t="shared" si="7"/>
        <v>0</v>
      </c>
      <c r="O71">
        <f t="shared" si="7"/>
        <v>0</v>
      </c>
      <c r="P71">
        <f t="shared" si="7"/>
        <v>0</v>
      </c>
    </row>
    <row r="72" spans="2:16" x14ac:dyDescent="0.2">
      <c r="B72">
        <f t="shared" si="5"/>
        <v>416.80000000000064</v>
      </c>
      <c r="C72">
        <f t="shared" si="2"/>
        <v>2199.9999999993634</v>
      </c>
      <c r="D72">
        <f t="shared" si="3"/>
        <v>0</v>
      </c>
      <c r="E72">
        <f t="shared" si="8"/>
        <v>2199.9999999993634</v>
      </c>
      <c r="F72">
        <f t="shared" si="7"/>
        <v>0</v>
      </c>
      <c r="G72">
        <f t="shared" si="7"/>
        <v>0</v>
      </c>
      <c r="H72">
        <f t="shared" si="7"/>
        <v>0</v>
      </c>
      <c r="I72">
        <f t="shared" si="7"/>
        <v>0</v>
      </c>
      <c r="J72">
        <f t="shared" si="7"/>
        <v>0</v>
      </c>
      <c r="K72">
        <f t="shared" si="7"/>
        <v>0</v>
      </c>
      <c r="L72">
        <f t="shared" si="7"/>
        <v>0</v>
      </c>
      <c r="M72">
        <f t="shared" si="7"/>
        <v>0</v>
      </c>
      <c r="N72">
        <f t="shared" si="7"/>
        <v>0</v>
      </c>
      <c r="O72">
        <f t="shared" si="7"/>
        <v>0</v>
      </c>
      <c r="P72">
        <f t="shared" si="7"/>
        <v>0</v>
      </c>
    </row>
    <row r="73" spans="2:16" x14ac:dyDescent="0.2">
      <c r="B73">
        <f t="shared" si="5"/>
        <v>417.10000000000065</v>
      </c>
      <c r="C73">
        <f t="shared" si="2"/>
        <v>1899.999999999352</v>
      </c>
      <c r="D73">
        <f t="shared" si="3"/>
        <v>0</v>
      </c>
      <c r="E73">
        <f t="shared" si="8"/>
        <v>1899.999999999352</v>
      </c>
      <c r="F73">
        <f t="shared" si="7"/>
        <v>0</v>
      </c>
      <c r="G73">
        <f t="shared" si="7"/>
        <v>0</v>
      </c>
      <c r="H73">
        <f t="shared" si="7"/>
        <v>0</v>
      </c>
      <c r="I73">
        <f t="shared" si="7"/>
        <v>0</v>
      </c>
      <c r="J73">
        <f t="shared" si="7"/>
        <v>0</v>
      </c>
      <c r="K73">
        <f t="shared" si="7"/>
        <v>0</v>
      </c>
      <c r="L73">
        <f t="shared" si="7"/>
        <v>0</v>
      </c>
      <c r="M73">
        <f t="shared" si="7"/>
        <v>0</v>
      </c>
      <c r="N73">
        <f t="shared" si="7"/>
        <v>0</v>
      </c>
      <c r="O73">
        <f t="shared" si="7"/>
        <v>0</v>
      </c>
      <c r="P73">
        <f t="shared" si="7"/>
        <v>0</v>
      </c>
    </row>
    <row r="74" spans="2:16" x14ac:dyDescent="0.2">
      <c r="B74">
        <f t="shared" si="5"/>
        <v>417.40000000000066</v>
      </c>
      <c r="C74">
        <f t="shared" si="2"/>
        <v>1599.9999999993406</v>
      </c>
      <c r="D74">
        <f t="shared" si="3"/>
        <v>0</v>
      </c>
      <c r="E74">
        <f t="shared" si="8"/>
        <v>1599.9999999993406</v>
      </c>
      <c r="F74">
        <f t="shared" si="7"/>
        <v>0</v>
      </c>
      <c r="G74">
        <f t="shared" si="7"/>
        <v>0</v>
      </c>
      <c r="H74">
        <f t="shared" si="7"/>
        <v>0</v>
      </c>
      <c r="I74">
        <f t="shared" si="7"/>
        <v>0</v>
      </c>
      <c r="J74">
        <f t="shared" si="7"/>
        <v>0</v>
      </c>
      <c r="K74">
        <f t="shared" si="7"/>
        <v>0</v>
      </c>
      <c r="L74">
        <f t="shared" si="7"/>
        <v>0</v>
      </c>
      <c r="M74">
        <f t="shared" si="7"/>
        <v>0</v>
      </c>
      <c r="N74">
        <f t="shared" si="7"/>
        <v>0</v>
      </c>
      <c r="O74">
        <f t="shared" si="7"/>
        <v>0</v>
      </c>
      <c r="P74">
        <f t="shared" si="7"/>
        <v>0</v>
      </c>
    </row>
    <row r="75" spans="2:16" x14ac:dyDescent="0.2">
      <c r="B75">
        <f t="shared" si="5"/>
        <v>417.70000000000067</v>
      </c>
      <c r="C75">
        <f t="shared" si="2"/>
        <v>1299.9999999993292</v>
      </c>
      <c r="D75">
        <f t="shared" si="3"/>
        <v>0</v>
      </c>
      <c r="E75">
        <f t="shared" si="8"/>
        <v>1299.9999999993292</v>
      </c>
      <c r="F75">
        <f t="shared" si="7"/>
        <v>0</v>
      </c>
      <c r="G75">
        <f t="shared" si="7"/>
        <v>0</v>
      </c>
      <c r="H75">
        <f t="shared" si="7"/>
        <v>0</v>
      </c>
      <c r="I75">
        <f t="shared" si="7"/>
        <v>0</v>
      </c>
      <c r="J75">
        <f t="shared" si="7"/>
        <v>0</v>
      </c>
      <c r="K75">
        <f t="shared" si="7"/>
        <v>0</v>
      </c>
      <c r="L75">
        <f t="shared" si="7"/>
        <v>0</v>
      </c>
      <c r="M75">
        <f t="shared" si="7"/>
        <v>0</v>
      </c>
      <c r="N75">
        <f t="shared" si="7"/>
        <v>0</v>
      </c>
      <c r="O75">
        <f t="shared" si="7"/>
        <v>0</v>
      </c>
      <c r="P75">
        <f t="shared" si="7"/>
        <v>0</v>
      </c>
    </row>
    <row r="76" spans="2:16" x14ac:dyDescent="0.2">
      <c r="B76">
        <f t="shared" si="5"/>
        <v>418.00000000000068</v>
      </c>
      <c r="C76">
        <f t="shared" si="2"/>
        <v>999.99999999931788</v>
      </c>
      <c r="D76">
        <f t="shared" si="3"/>
        <v>0</v>
      </c>
      <c r="E76">
        <f t="shared" si="8"/>
        <v>999.99999999931788</v>
      </c>
      <c r="F76">
        <f t="shared" si="7"/>
        <v>0</v>
      </c>
      <c r="G76">
        <f t="shared" si="7"/>
        <v>0</v>
      </c>
      <c r="H76">
        <f t="shared" si="7"/>
        <v>0</v>
      </c>
      <c r="I76">
        <f t="shared" si="7"/>
        <v>0</v>
      </c>
      <c r="J76">
        <f t="shared" si="7"/>
        <v>0</v>
      </c>
      <c r="K76">
        <f t="shared" si="7"/>
        <v>0</v>
      </c>
      <c r="L76">
        <f t="shared" si="7"/>
        <v>0</v>
      </c>
      <c r="M76">
        <f t="shared" si="7"/>
        <v>0</v>
      </c>
      <c r="N76">
        <f t="shared" si="7"/>
        <v>0</v>
      </c>
      <c r="O76">
        <f t="shared" si="7"/>
        <v>0</v>
      </c>
      <c r="P76">
        <f t="shared" si="7"/>
        <v>0</v>
      </c>
    </row>
    <row r="77" spans="2:16" x14ac:dyDescent="0.2">
      <c r="B77">
        <f t="shared" si="5"/>
        <v>418.30000000000069</v>
      </c>
      <c r="C77">
        <f t="shared" si="2"/>
        <v>699.99999999930651</v>
      </c>
      <c r="D77">
        <f t="shared" si="3"/>
        <v>0</v>
      </c>
      <c r="E77">
        <f t="shared" si="8"/>
        <v>699.99999999930651</v>
      </c>
      <c r="F77">
        <f t="shared" si="7"/>
        <v>0</v>
      </c>
      <c r="G77">
        <f t="shared" si="7"/>
        <v>0</v>
      </c>
      <c r="H77">
        <f t="shared" si="7"/>
        <v>0</v>
      </c>
      <c r="I77">
        <f t="shared" si="7"/>
        <v>0</v>
      </c>
      <c r="J77">
        <f t="shared" si="7"/>
        <v>0</v>
      </c>
      <c r="K77">
        <f t="shared" si="7"/>
        <v>0</v>
      </c>
      <c r="L77">
        <f t="shared" si="7"/>
        <v>0</v>
      </c>
      <c r="M77">
        <f t="shared" si="7"/>
        <v>0</v>
      </c>
      <c r="N77">
        <f t="shared" si="7"/>
        <v>0</v>
      </c>
      <c r="O77">
        <f t="shared" si="7"/>
        <v>0</v>
      </c>
      <c r="P77">
        <f t="shared" si="7"/>
        <v>0</v>
      </c>
    </row>
    <row r="78" spans="2:16" x14ac:dyDescent="0.2">
      <c r="B78">
        <f t="shared" si="5"/>
        <v>418.6000000000007</v>
      </c>
      <c r="C78">
        <f t="shared" si="2"/>
        <v>399.99999999929514</v>
      </c>
      <c r="D78">
        <f t="shared" si="3"/>
        <v>0</v>
      </c>
      <c r="E78">
        <f t="shared" si="8"/>
        <v>399.99999999929514</v>
      </c>
      <c r="F78">
        <f t="shared" si="7"/>
        <v>0</v>
      </c>
      <c r="G78">
        <f t="shared" si="7"/>
        <v>0</v>
      </c>
      <c r="H78">
        <f t="shared" si="7"/>
        <v>0</v>
      </c>
      <c r="I78">
        <f t="shared" si="7"/>
        <v>0</v>
      </c>
      <c r="J78">
        <f t="shared" si="7"/>
        <v>0</v>
      </c>
      <c r="K78">
        <f t="shared" si="7"/>
        <v>0</v>
      </c>
      <c r="L78">
        <f t="shared" si="7"/>
        <v>0</v>
      </c>
      <c r="M78">
        <f t="shared" si="7"/>
        <v>0</v>
      </c>
      <c r="N78">
        <f t="shared" si="7"/>
        <v>0</v>
      </c>
      <c r="O78">
        <f t="shared" si="7"/>
        <v>0</v>
      </c>
      <c r="P78">
        <f t="shared" si="7"/>
        <v>0</v>
      </c>
    </row>
    <row r="79" spans="2:16" x14ac:dyDescent="0.2">
      <c r="B79">
        <f t="shared" si="5"/>
        <v>418.90000000000072</v>
      </c>
      <c r="C79">
        <f t="shared" si="2"/>
        <v>99.999999999283773</v>
      </c>
      <c r="D79">
        <f t="shared" si="3"/>
        <v>0</v>
      </c>
      <c r="E79">
        <f t="shared" si="8"/>
        <v>99.999999999283773</v>
      </c>
      <c r="F79">
        <f t="shared" si="7"/>
        <v>0</v>
      </c>
      <c r="G79">
        <f t="shared" si="7"/>
        <v>0</v>
      </c>
      <c r="H79">
        <f t="shared" si="7"/>
        <v>0</v>
      </c>
      <c r="I79">
        <f t="shared" si="7"/>
        <v>0</v>
      </c>
      <c r="J79">
        <f t="shared" si="7"/>
        <v>0</v>
      </c>
      <c r="K79">
        <f t="shared" si="7"/>
        <v>0</v>
      </c>
      <c r="L79">
        <f t="shared" si="7"/>
        <v>0</v>
      </c>
      <c r="M79">
        <f t="shared" si="7"/>
        <v>0</v>
      </c>
      <c r="N79">
        <f t="shared" si="7"/>
        <v>0</v>
      </c>
      <c r="O79">
        <f t="shared" si="7"/>
        <v>0</v>
      </c>
      <c r="P79">
        <f t="shared" si="7"/>
        <v>0</v>
      </c>
    </row>
    <row r="80" spans="2:16" x14ac:dyDescent="0.2">
      <c r="B80">
        <f t="shared" si="5"/>
        <v>419.20000000000073</v>
      </c>
      <c r="C80">
        <f t="shared" si="2"/>
        <v>-200.0000000007276</v>
      </c>
      <c r="D80">
        <f t="shared" si="3"/>
        <v>0</v>
      </c>
      <c r="E80">
        <f t="shared" si="8"/>
        <v>-200.0000000007276</v>
      </c>
      <c r="F80">
        <f t="shared" si="7"/>
        <v>0</v>
      </c>
      <c r="G80">
        <f t="shared" si="7"/>
        <v>0</v>
      </c>
      <c r="H80">
        <f t="shared" si="7"/>
        <v>0</v>
      </c>
      <c r="I80">
        <f t="shared" si="7"/>
        <v>0</v>
      </c>
      <c r="J80">
        <f t="shared" si="7"/>
        <v>0</v>
      </c>
      <c r="K80">
        <f t="shared" si="7"/>
        <v>0</v>
      </c>
      <c r="L80">
        <f t="shared" si="7"/>
        <v>0</v>
      </c>
      <c r="M80">
        <f t="shared" si="7"/>
        <v>0</v>
      </c>
      <c r="N80">
        <f t="shared" si="7"/>
        <v>0</v>
      </c>
      <c r="O80">
        <f t="shared" si="7"/>
        <v>0</v>
      </c>
      <c r="P80">
        <f t="shared" si="7"/>
        <v>0</v>
      </c>
    </row>
    <row r="81" spans="2:16" x14ac:dyDescent="0.2">
      <c r="B81">
        <f t="shared" ref="B81:B116" si="9">B80+$C$14</f>
        <v>419.50000000000074</v>
      </c>
      <c r="C81">
        <f t="shared" ref="C81:C116" si="10">SUM(D81:P81)</f>
        <v>-500.00000000073896</v>
      </c>
      <c r="D81">
        <f t="shared" ref="D81:D116" si="11">IF($E$3="--Select",0,IF($E$3="Long",1,-1))*$E$4*(B81-$E$2)</f>
        <v>0</v>
      </c>
      <c r="E81">
        <f t="shared" si="8"/>
        <v>-500.00000000073896</v>
      </c>
      <c r="F81">
        <f t="shared" si="7"/>
        <v>0</v>
      </c>
      <c r="G81">
        <f t="shared" si="7"/>
        <v>0</v>
      </c>
      <c r="H81">
        <f t="shared" si="7"/>
        <v>0</v>
      </c>
      <c r="I81">
        <f t="shared" si="7"/>
        <v>0</v>
      </c>
      <c r="J81">
        <f t="shared" si="7"/>
        <v>0</v>
      </c>
      <c r="K81">
        <f t="shared" si="7"/>
        <v>0</v>
      </c>
      <c r="L81">
        <f t="shared" si="7"/>
        <v>0</v>
      </c>
      <c r="M81">
        <f t="shared" si="7"/>
        <v>0</v>
      </c>
      <c r="N81">
        <f t="shared" si="7"/>
        <v>0</v>
      </c>
      <c r="O81">
        <f t="shared" si="7"/>
        <v>0</v>
      </c>
      <c r="P81">
        <f t="shared" si="7"/>
        <v>0</v>
      </c>
    </row>
    <row r="82" spans="2:16" x14ac:dyDescent="0.2">
      <c r="B82">
        <f t="shared" si="9"/>
        <v>419.80000000000075</v>
      </c>
      <c r="C82">
        <f t="shared" si="10"/>
        <v>-800.00000000075033</v>
      </c>
      <c r="D82">
        <f t="shared" si="11"/>
        <v>0</v>
      </c>
      <c r="E82">
        <f t="shared" si="8"/>
        <v>-800.00000000075033</v>
      </c>
      <c r="F82">
        <f t="shared" si="7"/>
        <v>0</v>
      </c>
      <c r="G82">
        <f t="shared" si="7"/>
        <v>0</v>
      </c>
      <c r="H82">
        <f t="shared" si="7"/>
        <v>0</v>
      </c>
      <c r="I82">
        <f t="shared" si="7"/>
        <v>0</v>
      </c>
      <c r="J82">
        <f t="shared" si="7"/>
        <v>0</v>
      </c>
      <c r="K82">
        <f t="shared" si="7"/>
        <v>0</v>
      </c>
      <c r="L82">
        <f t="shared" si="7"/>
        <v>0</v>
      </c>
      <c r="M82">
        <f t="shared" si="7"/>
        <v>0</v>
      </c>
      <c r="N82">
        <f t="shared" si="7"/>
        <v>0</v>
      </c>
      <c r="O82">
        <f t="shared" si="7"/>
        <v>0</v>
      </c>
      <c r="P82">
        <f t="shared" si="7"/>
        <v>0</v>
      </c>
    </row>
    <row r="83" spans="2:16" x14ac:dyDescent="0.2">
      <c r="B83">
        <f t="shared" si="9"/>
        <v>420.10000000000076</v>
      </c>
      <c r="C83">
        <f t="shared" si="10"/>
        <v>-1100.0000000007617</v>
      </c>
      <c r="D83">
        <f t="shared" si="11"/>
        <v>0</v>
      </c>
      <c r="E83">
        <f t="shared" si="8"/>
        <v>-1100.0000000007617</v>
      </c>
      <c r="F83">
        <f t="shared" si="7"/>
        <v>0</v>
      </c>
      <c r="G83">
        <f t="shared" si="7"/>
        <v>0</v>
      </c>
      <c r="H83">
        <f t="shared" si="7"/>
        <v>0</v>
      </c>
      <c r="I83">
        <f t="shared" si="7"/>
        <v>0</v>
      </c>
      <c r="J83">
        <f t="shared" si="7"/>
        <v>0</v>
      </c>
      <c r="K83">
        <f t="shared" si="7"/>
        <v>0</v>
      </c>
      <c r="L83">
        <f t="shared" si="7"/>
        <v>0</v>
      </c>
      <c r="M83">
        <f t="shared" si="7"/>
        <v>0</v>
      </c>
      <c r="N83">
        <f t="shared" si="7"/>
        <v>0</v>
      </c>
      <c r="O83">
        <f t="shared" si="7"/>
        <v>0</v>
      </c>
      <c r="P83">
        <f t="shared" si="7"/>
        <v>0</v>
      </c>
    </row>
    <row r="84" spans="2:16" x14ac:dyDescent="0.2">
      <c r="B84">
        <f t="shared" si="9"/>
        <v>420.40000000000077</v>
      </c>
      <c r="C84">
        <f t="shared" si="10"/>
        <v>-1400.0000000007731</v>
      </c>
      <c r="D84">
        <f t="shared" si="11"/>
        <v>0</v>
      </c>
      <c r="E84">
        <f t="shared" si="8"/>
        <v>-1400.0000000007731</v>
      </c>
      <c r="F84">
        <f t="shared" si="7"/>
        <v>0</v>
      </c>
      <c r="G84">
        <f t="shared" si="7"/>
        <v>0</v>
      </c>
      <c r="H84">
        <f t="shared" si="7"/>
        <v>0</v>
      </c>
      <c r="I84">
        <f t="shared" si="7"/>
        <v>0</v>
      </c>
      <c r="J84">
        <f t="shared" si="7"/>
        <v>0</v>
      </c>
      <c r="K84">
        <f t="shared" si="7"/>
        <v>0</v>
      </c>
      <c r="L84">
        <f t="shared" si="7"/>
        <v>0</v>
      </c>
      <c r="M84">
        <f t="shared" si="7"/>
        <v>0</v>
      </c>
      <c r="N84">
        <f t="shared" si="7"/>
        <v>0</v>
      </c>
      <c r="O84">
        <f t="shared" si="7"/>
        <v>0</v>
      </c>
      <c r="P84">
        <f t="shared" si="7"/>
        <v>0</v>
      </c>
    </row>
    <row r="85" spans="2:16" x14ac:dyDescent="0.2">
      <c r="B85">
        <f t="shared" si="9"/>
        <v>420.70000000000078</v>
      </c>
      <c r="C85">
        <f t="shared" si="10"/>
        <v>-1700.0000000007844</v>
      </c>
      <c r="D85">
        <f t="shared" si="11"/>
        <v>0</v>
      </c>
      <c r="E85">
        <f t="shared" si="8"/>
        <v>-1700.0000000007844</v>
      </c>
      <c r="F85">
        <f t="shared" si="7"/>
        <v>0</v>
      </c>
      <c r="G85">
        <f t="shared" si="7"/>
        <v>0</v>
      </c>
      <c r="H85">
        <f t="shared" si="7"/>
        <v>0</v>
      </c>
      <c r="I85">
        <f t="shared" si="7"/>
        <v>0</v>
      </c>
      <c r="J85">
        <f t="shared" si="7"/>
        <v>0</v>
      </c>
      <c r="K85">
        <f t="shared" si="7"/>
        <v>0</v>
      </c>
      <c r="L85">
        <f t="shared" si="7"/>
        <v>0</v>
      </c>
      <c r="M85">
        <f t="shared" si="7"/>
        <v>0</v>
      </c>
      <c r="N85">
        <f t="shared" si="7"/>
        <v>0</v>
      </c>
      <c r="O85">
        <f t="shared" si="7"/>
        <v>0</v>
      </c>
      <c r="P85">
        <f t="shared" si="7"/>
        <v>0</v>
      </c>
    </row>
    <row r="86" spans="2:16" x14ac:dyDescent="0.2">
      <c r="B86">
        <f t="shared" si="9"/>
        <v>421.0000000000008</v>
      </c>
      <c r="C86">
        <f t="shared" si="10"/>
        <v>-2000.0000000007958</v>
      </c>
      <c r="D86">
        <f t="shared" si="11"/>
        <v>0</v>
      </c>
      <c r="E86">
        <f t="shared" si="8"/>
        <v>-2000.0000000007958</v>
      </c>
      <c r="F86">
        <f t="shared" si="7"/>
        <v>0</v>
      </c>
      <c r="G86">
        <f t="shared" si="7"/>
        <v>0</v>
      </c>
      <c r="H86">
        <f t="shared" si="7"/>
        <v>0</v>
      </c>
      <c r="I86">
        <f t="shared" si="7"/>
        <v>0</v>
      </c>
      <c r="J86">
        <f t="shared" si="7"/>
        <v>0</v>
      </c>
      <c r="K86">
        <f t="shared" si="7"/>
        <v>0</v>
      </c>
      <c r="L86">
        <f t="shared" si="7"/>
        <v>0</v>
      </c>
      <c r="M86">
        <f t="shared" si="7"/>
        <v>0</v>
      </c>
      <c r="N86">
        <f t="shared" si="7"/>
        <v>0</v>
      </c>
      <c r="O86">
        <f t="shared" si="7"/>
        <v>0</v>
      </c>
      <c r="P86">
        <f t="shared" si="7"/>
        <v>0</v>
      </c>
    </row>
    <row r="87" spans="2:16" x14ac:dyDescent="0.2">
      <c r="B87">
        <f t="shared" si="9"/>
        <v>421.30000000000081</v>
      </c>
      <c r="C87">
        <f t="shared" si="10"/>
        <v>-2300.0000000008072</v>
      </c>
      <c r="D87">
        <f t="shared" si="11"/>
        <v>0</v>
      </c>
      <c r="E87">
        <f t="shared" si="8"/>
        <v>-2300.0000000008072</v>
      </c>
      <c r="F87">
        <f t="shared" si="7"/>
        <v>0</v>
      </c>
      <c r="G87">
        <f t="shared" si="7"/>
        <v>0</v>
      </c>
      <c r="H87">
        <f t="shared" si="7"/>
        <v>0</v>
      </c>
      <c r="I87">
        <f t="shared" si="7"/>
        <v>0</v>
      </c>
      <c r="J87">
        <f t="shared" si="7"/>
        <v>0</v>
      </c>
      <c r="K87">
        <f t="shared" si="7"/>
        <v>0</v>
      </c>
      <c r="L87">
        <f t="shared" si="7"/>
        <v>0</v>
      </c>
      <c r="M87">
        <f t="shared" si="7"/>
        <v>0</v>
      </c>
      <c r="N87">
        <f t="shared" si="7"/>
        <v>0</v>
      </c>
      <c r="O87">
        <f t="shared" si="7"/>
        <v>0</v>
      </c>
      <c r="P87">
        <f t="shared" si="7"/>
        <v>0</v>
      </c>
    </row>
    <row r="88" spans="2:16" x14ac:dyDescent="0.2">
      <c r="B88">
        <f t="shared" si="9"/>
        <v>421.60000000000082</v>
      </c>
      <c r="C88">
        <f t="shared" si="10"/>
        <v>-2600.0000000008185</v>
      </c>
      <c r="D88">
        <f t="shared" si="11"/>
        <v>0</v>
      </c>
      <c r="E88">
        <f t="shared" si="8"/>
        <v>-2600.0000000008185</v>
      </c>
      <c r="F88">
        <f t="shared" si="7"/>
        <v>0</v>
      </c>
      <c r="G88">
        <f t="shared" si="7"/>
        <v>0</v>
      </c>
      <c r="H88">
        <f t="shared" si="7"/>
        <v>0</v>
      </c>
      <c r="I88">
        <f t="shared" si="7"/>
        <v>0</v>
      </c>
      <c r="J88">
        <f t="shared" si="7"/>
        <v>0</v>
      </c>
      <c r="K88">
        <f t="shared" si="7"/>
        <v>0</v>
      </c>
      <c r="L88">
        <f t="shared" si="7"/>
        <v>0</v>
      </c>
      <c r="M88">
        <f t="shared" si="7"/>
        <v>0</v>
      </c>
      <c r="N88">
        <f t="shared" si="7"/>
        <v>0</v>
      </c>
      <c r="O88">
        <f t="shared" si="7"/>
        <v>0</v>
      </c>
      <c r="P88">
        <f t="shared" si="7"/>
        <v>0</v>
      </c>
    </row>
    <row r="89" spans="2:16" x14ac:dyDescent="0.2">
      <c r="B89">
        <f t="shared" si="9"/>
        <v>421.90000000000083</v>
      </c>
      <c r="C89">
        <f t="shared" si="10"/>
        <v>-2900.0000000008299</v>
      </c>
      <c r="D89">
        <f t="shared" si="11"/>
        <v>0</v>
      </c>
      <c r="E89">
        <f t="shared" si="8"/>
        <v>-2900.0000000008299</v>
      </c>
      <c r="F89">
        <f t="shared" si="7"/>
        <v>0</v>
      </c>
      <c r="G89">
        <f t="shared" si="7"/>
        <v>0</v>
      </c>
      <c r="H89">
        <f t="shared" si="7"/>
        <v>0</v>
      </c>
      <c r="I89">
        <f t="shared" si="7"/>
        <v>0</v>
      </c>
      <c r="J89">
        <f t="shared" si="7"/>
        <v>0</v>
      </c>
      <c r="K89">
        <f t="shared" si="7"/>
        <v>0</v>
      </c>
      <c r="L89">
        <f t="shared" si="7"/>
        <v>0</v>
      </c>
      <c r="M89">
        <f t="shared" si="7"/>
        <v>0</v>
      </c>
      <c r="N89">
        <f t="shared" si="7"/>
        <v>0</v>
      </c>
      <c r="O89">
        <f t="shared" si="7"/>
        <v>0</v>
      </c>
      <c r="P89">
        <f t="shared" si="7"/>
        <v>0</v>
      </c>
    </row>
    <row r="90" spans="2:16" x14ac:dyDescent="0.2">
      <c r="B90">
        <f t="shared" si="9"/>
        <v>422.20000000000084</v>
      </c>
      <c r="C90">
        <f t="shared" si="10"/>
        <v>-3200.0000000008413</v>
      </c>
      <c r="D90">
        <f t="shared" si="11"/>
        <v>0</v>
      </c>
      <c r="E90">
        <f t="shared" si="8"/>
        <v>-3200.0000000008413</v>
      </c>
      <c r="F90">
        <f t="shared" si="7"/>
        <v>0</v>
      </c>
      <c r="G90">
        <f t="shared" si="7"/>
        <v>0</v>
      </c>
      <c r="H90">
        <f t="shared" si="7"/>
        <v>0</v>
      </c>
      <c r="I90">
        <f t="shared" si="7"/>
        <v>0</v>
      </c>
      <c r="J90">
        <f t="shared" si="7"/>
        <v>0</v>
      </c>
      <c r="K90">
        <f t="shared" si="7"/>
        <v>0</v>
      </c>
      <c r="L90">
        <f t="shared" si="7"/>
        <v>0</v>
      </c>
      <c r="M90">
        <f t="shared" si="7"/>
        <v>0</v>
      </c>
      <c r="N90">
        <f t="shared" si="7"/>
        <v>0</v>
      </c>
      <c r="O90">
        <f t="shared" si="7"/>
        <v>0</v>
      </c>
      <c r="P90">
        <f t="shared" si="7"/>
        <v>0</v>
      </c>
    </row>
    <row r="91" spans="2:16" x14ac:dyDescent="0.2">
      <c r="B91">
        <f t="shared" si="9"/>
        <v>422.50000000000085</v>
      </c>
      <c r="C91">
        <f t="shared" si="10"/>
        <v>-3500.0000000008527</v>
      </c>
      <c r="D91">
        <f t="shared" si="11"/>
        <v>0</v>
      </c>
      <c r="E91">
        <f t="shared" si="8"/>
        <v>-3500.0000000008527</v>
      </c>
      <c r="F91">
        <f t="shared" si="7"/>
        <v>0</v>
      </c>
      <c r="G91">
        <f t="shared" si="7"/>
        <v>0</v>
      </c>
      <c r="H91">
        <f t="shared" si="7"/>
        <v>0</v>
      </c>
      <c r="I91">
        <f t="shared" si="7"/>
        <v>0</v>
      </c>
      <c r="J91">
        <f t="shared" si="7"/>
        <v>0</v>
      </c>
      <c r="K91">
        <f t="shared" si="7"/>
        <v>0</v>
      </c>
      <c r="L91">
        <f t="shared" si="7"/>
        <v>0</v>
      </c>
      <c r="M91">
        <f t="shared" si="7"/>
        <v>0</v>
      </c>
      <c r="N91">
        <f t="shared" si="7"/>
        <v>0</v>
      </c>
      <c r="O91">
        <f t="shared" si="7"/>
        <v>0</v>
      </c>
      <c r="P91">
        <f t="shared" si="7"/>
        <v>0</v>
      </c>
    </row>
    <row r="92" spans="2:16" x14ac:dyDescent="0.2">
      <c r="B92">
        <f t="shared" si="9"/>
        <v>422.80000000000086</v>
      </c>
      <c r="C92">
        <f t="shared" si="10"/>
        <v>-3800.000000000864</v>
      </c>
      <c r="D92">
        <f t="shared" si="11"/>
        <v>0</v>
      </c>
      <c r="E92">
        <f t="shared" si="8"/>
        <v>-3800.000000000864</v>
      </c>
      <c r="F92">
        <f t="shared" si="7"/>
        <v>0</v>
      </c>
      <c r="G92">
        <f t="shared" si="7"/>
        <v>0</v>
      </c>
      <c r="H92">
        <f t="shared" si="7"/>
        <v>0</v>
      </c>
      <c r="I92">
        <f t="shared" si="7"/>
        <v>0</v>
      </c>
      <c r="J92">
        <f t="shared" si="7"/>
        <v>0</v>
      </c>
      <c r="K92">
        <f t="shared" si="7"/>
        <v>0</v>
      </c>
      <c r="L92">
        <f t="shared" si="7"/>
        <v>0</v>
      </c>
      <c r="M92">
        <f t="shared" si="7"/>
        <v>0</v>
      </c>
      <c r="N92">
        <f t="shared" si="7"/>
        <v>0</v>
      </c>
      <c r="O92">
        <f t="shared" si="7"/>
        <v>0</v>
      </c>
      <c r="P92">
        <f t="shared" si="7"/>
        <v>0</v>
      </c>
    </row>
    <row r="93" spans="2:16" x14ac:dyDescent="0.2">
      <c r="B93">
        <f t="shared" si="9"/>
        <v>423.10000000000088</v>
      </c>
      <c r="C93">
        <f t="shared" si="10"/>
        <v>-4100.0000000008749</v>
      </c>
      <c r="D93">
        <f t="shared" si="11"/>
        <v>0</v>
      </c>
      <c r="E93">
        <f t="shared" si="8"/>
        <v>-4100.0000000008749</v>
      </c>
      <c r="F93">
        <f t="shared" si="7"/>
        <v>0</v>
      </c>
      <c r="G93">
        <f t="shared" si="7"/>
        <v>0</v>
      </c>
      <c r="H93">
        <f t="shared" si="7"/>
        <v>0</v>
      </c>
      <c r="I93">
        <f t="shared" si="7"/>
        <v>0</v>
      </c>
      <c r="J93">
        <f t="shared" ref="F93:P116" si="12">IF(OR(J$8="--Select",J$9="--Select"),0,1)*IF(J$8="Call",MAX(0,$B93-J$10)-J$11,MAX(0,J$10-$B93)-J$11)*IF(J$9="Long",1,-1)*J$12*100</f>
        <v>0</v>
      </c>
      <c r="K93">
        <f t="shared" si="12"/>
        <v>0</v>
      </c>
      <c r="L93">
        <f t="shared" si="12"/>
        <v>0</v>
      </c>
      <c r="M93">
        <f t="shared" si="12"/>
        <v>0</v>
      </c>
      <c r="N93">
        <f t="shared" si="12"/>
        <v>0</v>
      </c>
      <c r="O93">
        <f t="shared" si="12"/>
        <v>0</v>
      </c>
      <c r="P93">
        <f t="shared" si="12"/>
        <v>0</v>
      </c>
    </row>
    <row r="94" spans="2:16" x14ac:dyDescent="0.2">
      <c r="B94">
        <f t="shared" si="9"/>
        <v>423.40000000000089</v>
      </c>
      <c r="C94">
        <f t="shared" si="10"/>
        <v>-4400.0000000008868</v>
      </c>
      <c r="D94">
        <f t="shared" si="11"/>
        <v>0</v>
      </c>
      <c r="E94">
        <f t="shared" si="8"/>
        <v>-4400.0000000008868</v>
      </c>
      <c r="F94">
        <f t="shared" si="12"/>
        <v>0</v>
      </c>
      <c r="G94">
        <f t="shared" si="12"/>
        <v>0</v>
      </c>
      <c r="H94">
        <f t="shared" si="12"/>
        <v>0</v>
      </c>
      <c r="I94">
        <f t="shared" si="12"/>
        <v>0</v>
      </c>
      <c r="J94">
        <f t="shared" si="12"/>
        <v>0</v>
      </c>
      <c r="K94">
        <f t="shared" si="12"/>
        <v>0</v>
      </c>
      <c r="L94">
        <f t="shared" si="12"/>
        <v>0</v>
      </c>
      <c r="M94">
        <f t="shared" si="12"/>
        <v>0</v>
      </c>
      <c r="N94">
        <f t="shared" si="12"/>
        <v>0</v>
      </c>
      <c r="O94">
        <f t="shared" si="12"/>
        <v>0</v>
      </c>
      <c r="P94">
        <f t="shared" si="12"/>
        <v>0</v>
      </c>
    </row>
    <row r="95" spans="2:16" x14ac:dyDescent="0.2">
      <c r="B95">
        <f t="shared" si="9"/>
        <v>423.7000000000009</v>
      </c>
      <c r="C95">
        <f t="shared" si="10"/>
        <v>-4700.0000000008986</v>
      </c>
      <c r="D95">
        <f t="shared" si="11"/>
        <v>0</v>
      </c>
      <c r="E95">
        <f t="shared" si="8"/>
        <v>-4700.0000000008986</v>
      </c>
      <c r="F95">
        <f t="shared" si="12"/>
        <v>0</v>
      </c>
      <c r="G95">
        <f t="shared" si="12"/>
        <v>0</v>
      </c>
      <c r="H95">
        <f t="shared" si="12"/>
        <v>0</v>
      </c>
      <c r="I95">
        <f t="shared" si="12"/>
        <v>0</v>
      </c>
      <c r="J95">
        <f t="shared" si="12"/>
        <v>0</v>
      </c>
      <c r="K95">
        <f t="shared" si="12"/>
        <v>0</v>
      </c>
      <c r="L95">
        <f t="shared" si="12"/>
        <v>0</v>
      </c>
      <c r="M95">
        <f t="shared" si="12"/>
        <v>0</v>
      </c>
      <c r="N95">
        <f t="shared" si="12"/>
        <v>0</v>
      </c>
      <c r="O95">
        <f t="shared" si="12"/>
        <v>0</v>
      </c>
      <c r="P95">
        <f t="shared" si="12"/>
        <v>0</v>
      </c>
    </row>
    <row r="96" spans="2:16" x14ac:dyDescent="0.2">
      <c r="B96">
        <f t="shared" si="9"/>
        <v>424.00000000000091</v>
      </c>
      <c r="C96">
        <f t="shared" si="10"/>
        <v>-5000.0000000009095</v>
      </c>
      <c r="D96">
        <f t="shared" si="11"/>
        <v>0</v>
      </c>
      <c r="E96">
        <f t="shared" si="8"/>
        <v>-5000.0000000009095</v>
      </c>
      <c r="F96">
        <f t="shared" si="12"/>
        <v>0</v>
      </c>
      <c r="G96">
        <f t="shared" si="12"/>
        <v>0</v>
      </c>
      <c r="H96">
        <f t="shared" si="12"/>
        <v>0</v>
      </c>
      <c r="I96">
        <f t="shared" si="12"/>
        <v>0</v>
      </c>
      <c r="J96">
        <f t="shared" si="12"/>
        <v>0</v>
      </c>
      <c r="K96">
        <f t="shared" si="12"/>
        <v>0</v>
      </c>
      <c r="L96">
        <f t="shared" si="12"/>
        <v>0</v>
      </c>
      <c r="M96">
        <f t="shared" si="12"/>
        <v>0</v>
      </c>
      <c r="N96">
        <f t="shared" si="12"/>
        <v>0</v>
      </c>
      <c r="O96">
        <f t="shared" si="12"/>
        <v>0</v>
      </c>
      <c r="P96">
        <f t="shared" si="12"/>
        <v>0</v>
      </c>
    </row>
    <row r="97" spans="2:16" x14ac:dyDescent="0.2">
      <c r="B97">
        <f t="shared" si="9"/>
        <v>424.30000000000092</v>
      </c>
      <c r="C97">
        <f t="shared" si="10"/>
        <v>-5300.0000000009204</v>
      </c>
      <c r="D97">
        <f t="shared" si="11"/>
        <v>0</v>
      </c>
      <c r="E97">
        <f t="shared" si="8"/>
        <v>-5300.0000000009204</v>
      </c>
      <c r="F97">
        <f t="shared" si="12"/>
        <v>0</v>
      </c>
      <c r="G97">
        <f t="shared" si="12"/>
        <v>0</v>
      </c>
      <c r="H97">
        <f t="shared" si="12"/>
        <v>0</v>
      </c>
      <c r="I97">
        <f t="shared" si="12"/>
        <v>0</v>
      </c>
      <c r="J97">
        <f t="shared" si="12"/>
        <v>0</v>
      </c>
      <c r="K97">
        <f t="shared" si="12"/>
        <v>0</v>
      </c>
      <c r="L97">
        <f t="shared" si="12"/>
        <v>0</v>
      </c>
      <c r="M97">
        <f t="shared" si="12"/>
        <v>0</v>
      </c>
      <c r="N97">
        <f t="shared" si="12"/>
        <v>0</v>
      </c>
      <c r="O97">
        <f t="shared" si="12"/>
        <v>0</v>
      </c>
      <c r="P97">
        <f t="shared" si="12"/>
        <v>0</v>
      </c>
    </row>
    <row r="98" spans="2:16" x14ac:dyDescent="0.2">
      <c r="B98">
        <f t="shared" si="9"/>
        <v>424.60000000000093</v>
      </c>
      <c r="C98">
        <f t="shared" si="10"/>
        <v>-5600.0000000009322</v>
      </c>
      <c r="D98">
        <f t="shared" si="11"/>
        <v>0</v>
      </c>
      <c r="E98">
        <f t="shared" si="8"/>
        <v>-5600.0000000009322</v>
      </c>
      <c r="F98">
        <f t="shared" si="12"/>
        <v>0</v>
      </c>
      <c r="G98">
        <f t="shared" si="12"/>
        <v>0</v>
      </c>
      <c r="H98">
        <f t="shared" si="12"/>
        <v>0</v>
      </c>
      <c r="I98">
        <f t="shared" si="12"/>
        <v>0</v>
      </c>
      <c r="J98">
        <f t="shared" si="12"/>
        <v>0</v>
      </c>
      <c r="K98">
        <f t="shared" si="12"/>
        <v>0</v>
      </c>
      <c r="L98">
        <f t="shared" si="12"/>
        <v>0</v>
      </c>
      <c r="M98">
        <f t="shared" si="12"/>
        <v>0</v>
      </c>
      <c r="N98">
        <f t="shared" si="12"/>
        <v>0</v>
      </c>
      <c r="O98">
        <f t="shared" si="12"/>
        <v>0</v>
      </c>
      <c r="P98">
        <f t="shared" si="12"/>
        <v>0</v>
      </c>
    </row>
    <row r="99" spans="2:16" x14ac:dyDescent="0.2">
      <c r="B99">
        <f t="shared" si="9"/>
        <v>424.90000000000094</v>
      </c>
      <c r="C99">
        <f t="shared" si="10"/>
        <v>-5900.0000000009441</v>
      </c>
      <c r="D99">
        <f t="shared" si="11"/>
        <v>0</v>
      </c>
      <c r="E99">
        <f t="shared" si="8"/>
        <v>-5900.0000000009441</v>
      </c>
      <c r="F99">
        <f t="shared" si="12"/>
        <v>0</v>
      </c>
      <c r="G99">
        <f t="shared" si="12"/>
        <v>0</v>
      </c>
      <c r="H99">
        <f t="shared" si="12"/>
        <v>0</v>
      </c>
      <c r="I99">
        <f t="shared" si="12"/>
        <v>0</v>
      </c>
      <c r="J99">
        <f t="shared" si="12"/>
        <v>0</v>
      </c>
      <c r="K99">
        <f t="shared" si="12"/>
        <v>0</v>
      </c>
      <c r="L99">
        <f t="shared" si="12"/>
        <v>0</v>
      </c>
      <c r="M99">
        <f t="shared" si="12"/>
        <v>0</v>
      </c>
      <c r="N99">
        <f t="shared" si="12"/>
        <v>0</v>
      </c>
      <c r="O99">
        <f t="shared" si="12"/>
        <v>0</v>
      </c>
      <c r="P99">
        <f t="shared" si="12"/>
        <v>0</v>
      </c>
    </row>
    <row r="100" spans="2:16" x14ac:dyDescent="0.2">
      <c r="B100">
        <f t="shared" si="9"/>
        <v>425.20000000000095</v>
      </c>
      <c r="C100">
        <f t="shared" si="10"/>
        <v>-6200.000000000955</v>
      </c>
      <c r="D100">
        <f t="shared" si="11"/>
        <v>0</v>
      </c>
      <c r="E100">
        <f t="shared" si="8"/>
        <v>-6200.000000000955</v>
      </c>
      <c r="F100">
        <f t="shared" si="12"/>
        <v>0</v>
      </c>
      <c r="G100">
        <f t="shared" si="12"/>
        <v>0</v>
      </c>
      <c r="H100">
        <f t="shared" si="12"/>
        <v>0</v>
      </c>
      <c r="I100">
        <f t="shared" si="12"/>
        <v>0</v>
      </c>
      <c r="J100">
        <f t="shared" si="12"/>
        <v>0</v>
      </c>
      <c r="K100">
        <f t="shared" si="12"/>
        <v>0</v>
      </c>
      <c r="L100">
        <f t="shared" si="12"/>
        <v>0</v>
      </c>
      <c r="M100">
        <f t="shared" si="12"/>
        <v>0</v>
      </c>
      <c r="N100">
        <f t="shared" si="12"/>
        <v>0</v>
      </c>
      <c r="O100">
        <f t="shared" si="12"/>
        <v>0</v>
      </c>
      <c r="P100">
        <f t="shared" si="12"/>
        <v>0</v>
      </c>
    </row>
    <row r="101" spans="2:16" x14ac:dyDescent="0.2">
      <c r="B101">
        <f t="shared" si="9"/>
        <v>425.50000000000097</v>
      </c>
      <c r="C101">
        <f t="shared" si="10"/>
        <v>-6500.0000000009659</v>
      </c>
      <c r="D101">
        <f t="shared" si="11"/>
        <v>0</v>
      </c>
      <c r="E101">
        <f t="shared" si="8"/>
        <v>-6500.0000000009659</v>
      </c>
      <c r="F101">
        <f t="shared" si="12"/>
        <v>0</v>
      </c>
      <c r="G101">
        <f t="shared" si="12"/>
        <v>0</v>
      </c>
      <c r="H101">
        <f t="shared" si="12"/>
        <v>0</v>
      </c>
      <c r="I101">
        <f t="shared" si="12"/>
        <v>0</v>
      </c>
      <c r="J101">
        <f t="shared" si="12"/>
        <v>0</v>
      </c>
      <c r="K101">
        <f t="shared" si="12"/>
        <v>0</v>
      </c>
      <c r="L101">
        <f t="shared" si="12"/>
        <v>0</v>
      </c>
      <c r="M101">
        <f t="shared" si="12"/>
        <v>0</v>
      </c>
      <c r="N101">
        <f t="shared" si="12"/>
        <v>0</v>
      </c>
      <c r="O101">
        <f t="shared" si="12"/>
        <v>0</v>
      </c>
      <c r="P101">
        <f t="shared" si="12"/>
        <v>0</v>
      </c>
    </row>
    <row r="102" spans="2:16" x14ac:dyDescent="0.2">
      <c r="B102">
        <f t="shared" si="9"/>
        <v>425.80000000000098</v>
      </c>
      <c r="C102">
        <f t="shared" si="10"/>
        <v>-6800.0000000009777</v>
      </c>
      <c r="D102">
        <f t="shared" si="11"/>
        <v>0</v>
      </c>
      <c r="E102">
        <f t="shared" si="8"/>
        <v>-6800.0000000009777</v>
      </c>
      <c r="F102">
        <f t="shared" si="12"/>
        <v>0</v>
      </c>
      <c r="G102">
        <f t="shared" si="12"/>
        <v>0</v>
      </c>
      <c r="H102">
        <f t="shared" si="12"/>
        <v>0</v>
      </c>
      <c r="I102">
        <f t="shared" si="12"/>
        <v>0</v>
      </c>
      <c r="J102">
        <f t="shared" si="12"/>
        <v>0</v>
      </c>
      <c r="K102">
        <f t="shared" si="12"/>
        <v>0</v>
      </c>
      <c r="L102">
        <f t="shared" si="12"/>
        <v>0</v>
      </c>
      <c r="M102">
        <f t="shared" si="12"/>
        <v>0</v>
      </c>
      <c r="N102">
        <f t="shared" si="12"/>
        <v>0</v>
      </c>
      <c r="O102">
        <f t="shared" si="12"/>
        <v>0</v>
      </c>
      <c r="P102">
        <f t="shared" si="12"/>
        <v>0</v>
      </c>
    </row>
    <row r="103" spans="2:16" x14ac:dyDescent="0.2">
      <c r="B103">
        <f t="shared" si="9"/>
        <v>426.10000000000099</v>
      </c>
      <c r="C103">
        <f t="shared" si="10"/>
        <v>-7100.0000000009895</v>
      </c>
      <c r="D103">
        <f t="shared" si="11"/>
        <v>0</v>
      </c>
      <c r="E103">
        <f t="shared" si="8"/>
        <v>-7100.0000000009895</v>
      </c>
      <c r="F103">
        <f t="shared" si="12"/>
        <v>0</v>
      </c>
      <c r="G103">
        <f t="shared" si="12"/>
        <v>0</v>
      </c>
      <c r="H103">
        <f t="shared" si="12"/>
        <v>0</v>
      </c>
      <c r="I103">
        <f t="shared" si="12"/>
        <v>0</v>
      </c>
      <c r="J103">
        <f t="shared" si="12"/>
        <v>0</v>
      </c>
      <c r="K103">
        <f t="shared" si="12"/>
        <v>0</v>
      </c>
      <c r="L103">
        <f t="shared" si="12"/>
        <v>0</v>
      </c>
      <c r="M103">
        <f t="shared" si="12"/>
        <v>0</v>
      </c>
      <c r="N103">
        <f t="shared" si="12"/>
        <v>0</v>
      </c>
      <c r="O103">
        <f t="shared" si="12"/>
        <v>0</v>
      </c>
      <c r="P103">
        <f t="shared" si="12"/>
        <v>0</v>
      </c>
    </row>
    <row r="104" spans="2:16" x14ac:dyDescent="0.2">
      <c r="B104">
        <f t="shared" si="9"/>
        <v>426.400000000001</v>
      </c>
      <c r="C104">
        <f t="shared" si="10"/>
        <v>-7400.0000000010004</v>
      </c>
      <c r="D104">
        <f t="shared" si="11"/>
        <v>0</v>
      </c>
      <c r="E104">
        <f t="shared" si="8"/>
        <v>-7400.0000000010004</v>
      </c>
      <c r="F104">
        <f t="shared" si="12"/>
        <v>0</v>
      </c>
      <c r="G104">
        <f t="shared" si="12"/>
        <v>0</v>
      </c>
      <c r="H104">
        <f t="shared" si="12"/>
        <v>0</v>
      </c>
      <c r="I104">
        <f t="shared" si="12"/>
        <v>0</v>
      </c>
      <c r="J104">
        <f t="shared" si="12"/>
        <v>0</v>
      </c>
      <c r="K104">
        <f t="shared" si="12"/>
        <v>0</v>
      </c>
      <c r="L104">
        <f t="shared" si="12"/>
        <v>0</v>
      </c>
      <c r="M104">
        <f t="shared" si="12"/>
        <v>0</v>
      </c>
      <c r="N104">
        <f t="shared" si="12"/>
        <v>0</v>
      </c>
      <c r="O104">
        <f t="shared" si="12"/>
        <v>0</v>
      </c>
      <c r="P104">
        <f t="shared" si="12"/>
        <v>0</v>
      </c>
    </row>
    <row r="105" spans="2:16" x14ac:dyDescent="0.2">
      <c r="B105">
        <f t="shared" si="9"/>
        <v>426.70000000000101</v>
      </c>
      <c r="C105">
        <f t="shared" si="10"/>
        <v>-7700.0000000010114</v>
      </c>
      <c r="D105">
        <f t="shared" si="11"/>
        <v>0</v>
      </c>
      <c r="E105">
        <f t="shared" si="8"/>
        <v>-7700.0000000010114</v>
      </c>
      <c r="F105">
        <f t="shared" si="12"/>
        <v>0</v>
      </c>
      <c r="G105">
        <f t="shared" si="12"/>
        <v>0</v>
      </c>
      <c r="H105">
        <f t="shared" si="12"/>
        <v>0</v>
      </c>
      <c r="I105">
        <f t="shared" si="12"/>
        <v>0</v>
      </c>
      <c r="J105">
        <f t="shared" si="12"/>
        <v>0</v>
      </c>
      <c r="K105">
        <f t="shared" si="12"/>
        <v>0</v>
      </c>
      <c r="L105">
        <f t="shared" si="12"/>
        <v>0</v>
      </c>
      <c r="M105">
        <f t="shared" si="12"/>
        <v>0</v>
      </c>
      <c r="N105">
        <f t="shared" si="12"/>
        <v>0</v>
      </c>
      <c r="O105">
        <f t="shared" si="12"/>
        <v>0</v>
      </c>
      <c r="P105">
        <f t="shared" si="12"/>
        <v>0</v>
      </c>
    </row>
    <row r="106" spans="2:16" x14ac:dyDescent="0.2">
      <c r="B106">
        <f t="shared" si="9"/>
        <v>427.00000000000102</v>
      </c>
      <c r="C106">
        <f t="shared" si="10"/>
        <v>-8000.0000000010232</v>
      </c>
      <c r="D106">
        <f t="shared" si="11"/>
        <v>0</v>
      </c>
      <c r="E106">
        <f t="shared" si="8"/>
        <v>-8000.0000000010232</v>
      </c>
      <c r="F106">
        <f t="shared" si="12"/>
        <v>0</v>
      </c>
      <c r="G106">
        <f t="shared" si="12"/>
        <v>0</v>
      </c>
      <c r="H106">
        <f t="shared" si="12"/>
        <v>0</v>
      </c>
      <c r="I106">
        <f t="shared" si="12"/>
        <v>0</v>
      </c>
      <c r="J106">
        <f t="shared" si="12"/>
        <v>0</v>
      </c>
      <c r="K106">
        <f t="shared" si="12"/>
        <v>0</v>
      </c>
      <c r="L106">
        <f t="shared" si="12"/>
        <v>0</v>
      </c>
      <c r="M106">
        <f t="shared" si="12"/>
        <v>0</v>
      </c>
      <c r="N106">
        <f t="shared" si="12"/>
        <v>0</v>
      </c>
      <c r="O106">
        <f t="shared" si="12"/>
        <v>0</v>
      </c>
      <c r="P106">
        <f t="shared" si="12"/>
        <v>0</v>
      </c>
    </row>
    <row r="107" spans="2:16" x14ac:dyDescent="0.2">
      <c r="B107">
        <f t="shared" si="9"/>
        <v>427.30000000000103</v>
      </c>
      <c r="C107">
        <f t="shared" si="10"/>
        <v>-8300.000000001035</v>
      </c>
      <c r="D107">
        <f t="shared" si="11"/>
        <v>0</v>
      </c>
      <c r="E107">
        <f t="shared" si="8"/>
        <v>-8300.000000001035</v>
      </c>
      <c r="F107">
        <f t="shared" si="12"/>
        <v>0</v>
      </c>
      <c r="G107">
        <f t="shared" si="12"/>
        <v>0</v>
      </c>
      <c r="H107">
        <f t="shared" si="12"/>
        <v>0</v>
      </c>
      <c r="I107">
        <f t="shared" si="12"/>
        <v>0</v>
      </c>
      <c r="J107">
        <f t="shared" si="12"/>
        <v>0</v>
      </c>
      <c r="K107">
        <f t="shared" si="12"/>
        <v>0</v>
      </c>
      <c r="L107">
        <f t="shared" si="12"/>
        <v>0</v>
      </c>
      <c r="M107">
        <f t="shared" si="12"/>
        <v>0</v>
      </c>
      <c r="N107">
        <f t="shared" si="12"/>
        <v>0</v>
      </c>
      <c r="O107">
        <f t="shared" si="12"/>
        <v>0</v>
      </c>
      <c r="P107">
        <f t="shared" si="12"/>
        <v>0</v>
      </c>
    </row>
    <row r="108" spans="2:16" x14ac:dyDescent="0.2">
      <c r="B108">
        <f t="shared" si="9"/>
        <v>427.60000000000105</v>
      </c>
      <c r="C108">
        <f t="shared" si="10"/>
        <v>-8600.0000000010459</v>
      </c>
      <c r="D108">
        <f t="shared" si="11"/>
        <v>0</v>
      </c>
      <c r="E108">
        <f t="shared" si="8"/>
        <v>-8600.0000000010459</v>
      </c>
      <c r="F108">
        <f t="shared" si="12"/>
        <v>0</v>
      </c>
      <c r="G108">
        <f t="shared" si="12"/>
        <v>0</v>
      </c>
      <c r="H108">
        <f t="shared" si="12"/>
        <v>0</v>
      </c>
      <c r="I108">
        <f t="shared" si="12"/>
        <v>0</v>
      </c>
      <c r="J108">
        <f t="shared" si="12"/>
        <v>0</v>
      </c>
      <c r="K108">
        <f t="shared" si="12"/>
        <v>0</v>
      </c>
      <c r="L108">
        <f t="shared" si="12"/>
        <v>0</v>
      </c>
      <c r="M108">
        <f t="shared" si="12"/>
        <v>0</v>
      </c>
      <c r="N108">
        <f t="shared" si="12"/>
        <v>0</v>
      </c>
      <c r="O108">
        <f t="shared" si="12"/>
        <v>0</v>
      </c>
      <c r="P108">
        <f t="shared" si="12"/>
        <v>0</v>
      </c>
    </row>
    <row r="109" spans="2:16" x14ac:dyDescent="0.2">
      <c r="B109">
        <f t="shared" si="9"/>
        <v>427.90000000000106</v>
      </c>
      <c r="C109">
        <f t="shared" si="10"/>
        <v>-8900.0000000010568</v>
      </c>
      <c r="D109">
        <f t="shared" si="11"/>
        <v>0</v>
      </c>
      <c r="E109">
        <f t="shared" si="8"/>
        <v>-8900.0000000010568</v>
      </c>
      <c r="F109">
        <f t="shared" si="12"/>
        <v>0</v>
      </c>
      <c r="G109">
        <f t="shared" si="12"/>
        <v>0</v>
      </c>
      <c r="H109">
        <f t="shared" si="12"/>
        <v>0</v>
      </c>
      <c r="I109">
        <f t="shared" si="12"/>
        <v>0</v>
      </c>
      <c r="J109">
        <f t="shared" si="12"/>
        <v>0</v>
      </c>
      <c r="K109">
        <f t="shared" si="12"/>
        <v>0</v>
      </c>
      <c r="L109">
        <f t="shared" si="12"/>
        <v>0</v>
      </c>
      <c r="M109">
        <f t="shared" si="12"/>
        <v>0</v>
      </c>
      <c r="N109">
        <f t="shared" si="12"/>
        <v>0</v>
      </c>
      <c r="O109">
        <f t="shared" si="12"/>
        <v>0</v>
      </c>
      <c r="P109">
        <f t="shared" si="12"/>
        <v>0</v>
      </c>
    </row>
    <row r="110" spans="2:16" x14ac:dyDescent="0.2">
      <c r="B110">
        <f t="shared" si="9"/>
        <v>428.20000000000107</v>
      </c>
      <c r="C110">
        <f t="shared" si="10"/>
        <v>-9000</v>
      </c>
      <c r="D110">
        <f t="shared" si="11"/>
        <v>0</v>
      </c>
      <c r="E110">
        <f t="shared" si="8"/>
        <v>-9000</v>
      </c>
      <c r="F110">
        <f t="shared" si="12"/>
        <v>0</v>
      </c>
      <c r="G110">
        <f t="shared" si="12"/>
        <v>0</v>
      </c>
      <c r="H110">
        <f t="shared" si="12"/>
        <v>0</v>
      </c>
      <c r="I110">
        <f t="shared" si="12"/>
        <v>0</v>
      </c>
      <c r="J110">
        <f t="shared" si="12"/>
        <v>0</v>
      </c>
      <c r="K110">
        <f t="shared" si="12"/>
        <v>0</v>
      </c>
      <c r="L110">
        <f t="shared" si="12"/>
        <v>0</v>
      </c>
      <c r="M110">
        <f t="shared" si="12"/>
        <v>0</v>
      </c>
      <c r="N110">
        <f t="shared" si="12"/>
        <v>0</v>
      </c>
      <c r="O110">
        <f t="shared" si="12"/>
        <v>0</v>
      </c>
      <c r="P110">
        <f t="shared" si="12"/>
        <v>0</v>
      </c>
    </row>
    <row r="111" spans="2:16" x14ac:dyDescent="0.2">
      <c r="B111">
        <f t="shared" si="9"/>
        <v>428.50000000000108</v>
      </c>
      <c r="C111">
        <f t="shared" si="10"/>
        <v>-9000</v>
      </c>
      <c r="D111">
        <f t="shared" si="11"/>
        <v>0</v>
      </c>
      <c r="E111">
        <f t="shared" si="8"/>
        <v>-9000</v>
      </c>
      <c r="F111">
        <f t="shared" si="12"/>
        <v>0</v>
      </c>
      <c r="G111">
        <f t="shared" si="12"/>
        <v>0</v>
      </c>
      <c r="H111">
        <f t="shared" si="12"/>
        <v>0</v>
      </c>
      <c r="I111">
        <f t="shared" si="12"/>
        <v>0</v>
      </c>
      <c r="J111">
        <f t="shared" si="12"/>
        <v>0</v>
      </c>
      <c r="K111">
        <f t="shared" si="12"/>
        <v>0</v>
      </c>
      <c r="L111">
        <f t="shared" si="12"/>
        <v>0</v>
      </c>
      <c r="M111">
        <f t="shared" si="12"/>
        <v>0</v>
      </c>
      <c r="N111">
        <f t="shared" si="12"/>
        <v>0</v>
      </c>
      <c r="O111">
        <f t="shared" si="12"/>
        <v>0</v>
      </c>
      <c r="P111">
        <f t="shared" si="12"/>
        <v>0</v>
      </c>
    </row>
    <row r="112" spans="2:16" x14ac:dyDescent="0.2">
      <c r="B112">
        <f t="shared" si="9"/>
        <v>428.80000000000109</v>
      </c>
      <c r="C112">
        <f t="shared" si="10"/>
        <v>-9000</v>
      </c>
      <c r="D112">
        <f t="shared" si="11"/>
        <v>0</v>
      </c>
      <c r="E112">
        <f t="shared" si="8"/>
        <v>-9000</v>
      </c>
      <c r="F112">
        <f t="shared" si="12"/>
        <v>0</v>
      </c>
      <c r="G112">
        <f t="shared" si="12"/>
        <v>0</v>
      </c>
      <c r="H112">
        <f t="shared" si="12"/>
        <v>0</v>
      </c>
      <c r="I112">
        <f t="shared" si="12"/>
        <v>0</v>
      </c>
      <c r="J112">
        <f t="shared" si="12"/>
        <v>0</v>
      </c>
      <c r="K112">
        <f t="shared" si="12"/>
        <v>0</v>
      </c>
      <c r="L112">
        <f t="shared" si="12"/>
        <v>0</v>
      </c>
      <c r="M112">
        <f t="shared" si="12"/>
        <v>0</v>
      </c>
      <c r="N112">
        <f t="shared" si="12"/>
        <v>0</v>
      </c>
      <c r="O112">
        <f t="shared" si="12"/>
        <v>0</v>
      </c>
      <c r="P112">
        <f t="shared" si="12"/>
        <v>0</v>
      </c>
    </row>
    <row r="113" spans="2:16" x14ac:dyDescent="0.2">
      <c r="B113">
        <f t="shared" si="9"/>
        <v>429.1000000000011</v>
      </c>
      <c r="C113">
        <f t="shared" si="10"/>
        <v>-9000</v>
      </c>
      <c r="D113">
        <f t="shared" si="11"/>
        <v>0</v>
      </c>
      <c r="E113">
        <f t="shared" si="8"/>
        <v>-9000</v>
      </c>
      <c r="F113">
        <f t="shared" si="12"/>
        <v>0</v>
      </c>
      <c r="G113">
        <f t="shared" si="12"/>
        <v>0</v>
      </c>
      <c r="H113">
        <f t="shared" si="12"/>
        <v>0</v>
      </c>
      <c r="I113">
        <f t="shared" si="12"/>
        <v>0</v>
      </c>
      <c r="J113">
        <f t="shared" si="12"/>
        <v>0</v>
      </c>
      <c r="K113">
        <f t="shared" si="12"/>
        <v>0</v>
      </c>
      <c r="L113">
        <f t="shared" si="12"/>
        <v>0</v>
      </c>
      <c r="M113">
        <f t="shared" si="12"/>
        <v>0</v>
      </c>
      <c r="N113">
        <f t="shared" si="12"/>
        <v>0</v>
      </c>
      <c r="O113">
        <f t="shared" si="12"/>
        <v>0</v>
      </c>
      <c r="P113">
        <f t="shared" si="12"/>
        <v>0</v>
      </c>
    </row>
    <row r="114" spans="2:16" x14ac:dyDescent="0.2">
      <c r="B114">
        <f t="shared" si="9"/>
        <v>429.40000000000111</v>
      </c>
      <c r="C114">
        <f t="shared" si="10"/>
        <v>-9000</v>
      </c>
      <c r="D114">
        <f t="shared" si="11"/>
        <v>0</v>
      </c>
      <c r="E114">
        <f t="shared" si="8"/>
        <v>-9000</v>
      </c>
      <c r="F114">
        <f t="shared" si="12"/>
        <v>0</v>
      </c>
      <c r="G114">
        <f t="shared" si="12"/>
        <v>0</v>
      </c>
      <c r="H114">
        <f t="shared" si="12"/>
        <v>0</v>
      </c>
      <c r="I114">
        <f t="shared" si="12"/>
        <v>0</v>
      </c>
      <c r="J114">
        <f t="shared" si="12"/>
        <v>0</v>
      </c>
      <c r="K114">
        <f t="shared" si="12"/>
        <v>0</v>
      </c>
      <c r="L114">
        <f t="shared" si="12"/>
        <v>0</v>
      </c>
      <c r="M114">
        <f t="shared" si="12"/>
        <v>0</v>
      </c>
      <c r="N114">
        <f t="shared" si="12"/>
        <v>0</v>
      </c>
      <c r="O114">
        <f t="shared" si="12"/>
        <v>0</v>
      </c>
      <c r="P114">
        <f t="shared" si="12"/>
        <v>0</v>
      </c>
    </row>
    <row r="115" spans="2:16" x14ac:dyDescent="0.2">
      <c r="B115">
        <f t="shared" si="9"/>
        <v>429.70000000000113</v>
      </c>
      <c r="C115">
        <f t="shared" si="10"/>
        <v>-9000</v>
      </c>
      <c r="D115">
        <f t="shared" si="11"/>
        <v>0</v>
      </c>
      <c r="E115">
        <f t="shared" si="8"/>
        <v>-9000</v>
      </c>
      <c r="F115">
        <f t="shared" si="12"/>
        <v>0</v>
      </c>
      <c r="G115">
        <f t="shared" si="12"/>
        <v>0</v>
      </c>
      <c r="H115">
        <f t="shared" si="12"/>
        <v>0</v>
      </c>
      <c r="I115">
        <f t="shared" si="12"/>
        <v>0</v>
      </c>
      <c r="J115">
        <f t="shared" si="12"/>
        <v>0</v>
      </c>
      <c r="K115">
        <f t="shared" si="12"/>
        <v>0</v>
      </c>
      <c r="L115">
        <f t="shared" si="12"/>
        <v>0</v>
      </c>
      <c r="M115">
        <f t="shared" si="12"/>
        <v>0</v>
      </c>
      <c r="N115">
        <f t="shared" si="12"/>
        <v>0</v>
      </c>
      <c r="O115">
        <f t="shared" si="12"/>
        <v>0</v>
      </c>
      <c r="P115">
        <f t="shared" si="12"/>
        <v>0</v>
      </c>
    </row>
    <row r="116" spans="2:16" x14ac:dyDescent="0.2">
      <c r="B116">
        <f t="shared" si="9"/>
        <v>430.00000000000114</v>
      </c>
      <c r="C116">
        <f t="shared" si="10"/>
        <v>-9000</v>
      </c>
      <c r="D116">
        <f t="shared" si="11"/>
        <v>0</v>
      </c>
      <c r="E116">
        <f t="shared" si="8"/>
        <v>-9000</v>
      </c>
      <c r="F116">
        <f t="shared" si="12"/>
        <v>0</v>
      </c>
      <c r="G116">
        <f t="shared" si="12"/>
        <v>0</v>
      </c>
      <c r="H116">
        <f t="shared" si="12"/>
        <v>0</v>
      </c>
      <c r="I116">
        <f t="shared" si="12"/>
        <v>0</v>
      </c>
      <c r="J116">
        <f t="shared" si="12"/>
        <v>0</v>
      </c>
      <c r="K116">
        <f t="shared" si="12"/>
        <v>0</v>
      </c>
      <c r="L116">
        <f t="shared" ref="L116:P116" si="13">IF(OR(L$8="--Select",L$9="--Select"),0,1)*IF(L$8="Call",MAX(0,$B116-L$10)-L$11,MAX(0,L$10-$B116)-L$11)*IF(L$9="Long",1,-1)*L$12*100</f>
        <v>0</v>
      </c>
      <c r="M116">
        <f t="shared" si="13"/>
        <v>0</v>
      </c>
      <c r="N116">
        <f t="shared" si="13"/>
        <v>0</v>
      </c>
      <c r="O116">
        <f t="shared" si="13"/>
        <v>0</v>
      </c>
      <c r="P116">
        <f t="shared" si="13"/>
        <v>0</v>
      </c>
    </row>
  </sheetData>
  <dataValidations count="2">
    <dataValidation type="list" allowBlank="1" showInputMessage="1" showErrorMessage="1" sqref="E3 F4 E9:P9" xr:uid="{00000000-0002-0000-0000-000000000000}">
      <formula1>$H$1:$H$3</formula1>
    </dataValidation>
    <dataValidation type="list" allowBlank="1" showInputMessage="1" showErrorMessage="1" sqref="E8:P8" xr:uid="{00000000-0002-0000-0000-000001000000}">
      <formula1>$I$1:$I$3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Reinit">
                <anchor moveWithCells="1" sizeWithCells="1">
                  <from>
                    <xdr:col>13</xdr:col>
                    <xdr:colOff>9525</xdr:colOff>
                    <xdr:row>0</xdr:row>
                    <xdr:rowOff>133350</xdr:rowOff>
                  </from>
                  <to>
                    <xdr:col>14</xdr:col>
                    <xdr:colOff>552450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F53:G53"/>
  <sheetViews>
    <sheetView topLeftCell="A2" workbookViewId="0">
      <selection activeCell="G53" sqref="G53"/>
    </sheetView>
  </sheetViews>
  <sheetFormatPr baseColWidth="10" defaultRowHeight="12.75" x14ac:dyDescent="0.2"/>
  <sheetData>
    <row r="53" spans="6:7" x14ac:dyDescent="0.2">
      <c r="F53" s="7">
        <v>400</v>
      </c>
      <c r="G53" s="8">
        <v>430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B28:T44"/>
  <sheetViews>
    <sheetView topLeftCell="D9" workbookViewId="0">
      <selection activeCell="C64" sqref="C64"/>
    </sheetView>
  </sheetViews>
  <sheetFormatPr baseColWidth="10" defaultRowHeight="12.75" x14ac:dyDescent="0.2"/>
  <sheetData>
    <row r="28" spans="4:13" x14ac:dyDescent="0.2">
      <c r="D28" s="11" t="s">
        <v>73</v>
      </c>
      <c r="E28" s="21" t="s">
        <v>74</v>
      </c>
    </row>
    <row r="29" spans="4:13" x14ac:dyDescent="0.2">
      <c r="D29" s="22">
        <v>1000</v>
      </c>
      <c r="E29" s="23">
        <v>1000</v>
      </c>
    </row>
    <row r="30" spans="4:13" x14ac:dyDescent="0.2">
      <c r="D30" s="32"/>
      <c r="E30" s="32"/>
      <c r="J30" s="2" t="s">
        <v>70</v>
      </c>
    </row>
    <row r="31" spans="4:13" x14ac:dyDescent="0.2">
      <c r="D31" s="2" t="s">
        <v>85</v>
      </c>
      <c r="J31" t="s">
        <v>69</v>
      </c>
      <c r="K31" s="18">
        <v>423</v>
      </c>
      <c r="L31" s="2" t="s">
        <v>50</v>
      </c>
      <c r="M31" s="2" t="s">
        <v>51</v>
      </c>
    </row>
    <row r="32" spans="4:13" x14ac:dyDescent="0.2">
      <c r="D32" s="33" t="s">
        <v>82</v>
      </c>
      <c r="E32" s="12" t="s">
        <v>83</v>
      </c>
      <c r="F32" s="12" t="s">
        <v>84</v>
      </c>
      <c r="G32" s="13" t="s">
        <v>62</v>
      </c>
      <c r="J32" t="s">
        <v>64</v>
      </c>
      <c r="K32" s="4">
        <f>E37</f>
        <v>9</v>
      </c>
      <c r="L32" s="4">
        <f>MAX(K31-E36,0)</f>
        <v>6.839999999999975</v>
      </c>
      <c r="M32" s="4">
        <f>K33-L32</f>
        <v>-2.0699999999999754</v>
      </c>
    </row>
    <row r="33" spans="2:20" x14ac:dyDescent="0.2">
      <c r="D33" s="16">
        <v>9.0500000000000007</v>
      </c>
      <c r="E33" s="17">
        <v>9.41</v>
      </c>
      <c r="F33" s="24">
        <f>(D33+E33)/2</f>
        <v>9.23</v>
      </c>
      <c r="G33" s="34">
        <f>(E33-D33)/F33</f>
        <v>3.9003250270855841E-2</v>
      </c>
      <c r="J33" t="s">
        <v>68</v>
      </c>
      <c r="K33" s="4">
        <f>E39</f>
        <v>4.7699999999999996</v>
      </c>
      <c r="L33" s="2"/>
      <c r="M33" s="2"/>
      <c r="N33" s="2"/>
    </row>
    <row r="34" spans="2:20" x14ac:dyDescent="0.2">
      <c r="N34" s="2"/>
      <c r="O34" t="s">
        <v>92</v>
      </c>
      <c r="P34" t="s">
        <v>93</v>
      </c>
      <c r="Q34" s="2" t="s">
        <v>62</v>
      </c>
      <c r="R34" s="2" t="s">
        <v>90</v>
      </c>
      <c r="S34" s="2" t="s">
        <v>91</v>
      </c>
      <c r="T34" s="2" t="s">
        <v>64</v>
      </c>
    </row>
    <row r="35" spans="2:20" x14ac:dyDescent="0.2">
      <c r="D35" s="14" t="s">
        <v>52</v>
      </c>
      <c r="E35" s="35">
        <v>0.33200000000000002</v>
      </c>
      <c r="F35" s="34">
        <f>E35/SQRT(252)</f>
        <v>2.0914034173177241E-2</v>
      </c>
      <c r="M35" s="2"/>
      <c r="N35" s="2" t="s">
        <v>1</v>
      </c>
      <c r="O35" s="18">
        <v>421</v>
      </c>
      <c r="P35" s="18">
        <v>411</v>
      </c>
      <c r="Q35">
        <f>P35-O35</f>
        <v>-10</v>
      </c>
      <c r="R35">
        <f>($E$29+$D$29)/Q35</f>
        <v>-200</v>
      </c>
      <c r="S35" s="18">
        <f>P40-Q40</f>
        <v>-0.22799999999999998</v>
      </c>
      <c r="T35">
        <f>R35/(100*S35)</f>
        <v>8.7719298245614041</v>
      </c>
    </row>
    <row r="36" spans="2:20" x14ac:dyDescent="0.2">
      <c r="D36" s="14" t="s">
        <v>53</v>
      </c>
      <c r="E36" s="20">
        <v>416.16</v>
      </c>
      <c r="F36" s="24">
        <f>TRUNC(E36*(1-F35),2)</f>
        <v>407.45</v>
      </c>
      <c r="G36" s="36">
        <f>TRUNC(E36*(1+F35),2)</f>
        <v>424.86</v>
      </c>
      <c r="N36" t="s">
        <v>0</v>
      </c>
      <c r="O36">
        <v>411</v>
      </c>
      <c r="P36">
        <v>421</v>
      </c>
      <c r="Q36">
        <f>P36-O36</f>
        <v>10</v>
      </c>
      <c r="R36">
        <f>($E$29+$D$29)/Q36</f>
        <v>200</v>
      </c>
      <c r="S36">
        <f>R42</f>
        <v>-0.27</v>
      </c>
      <c r="T36">
        <f>R36/(100*S36)</f>
        <v>-7.4074074074074074</v>
      </c>
    </row>
    <row r="37" spans="2:20" x14ac:dyDescent="0.2">
      <c r="D37" s="14" t="s">
        <v>64</v>
      </c>
      <c r="E37" s="20">
        <v>9</v>
      </c>
      <c r="F37" s="31" t="s">
        <v>67</v>
      </c>
    </row>
    <row r="38" spans="2:20" x14ac:dyDescent="0.2">
      <c r="C38">
        <v>1000</v>
      </c>
      <c r="D38" s="14" t="s">
        <v>89</v>
      </c>
      <c r="E38" s="20">
        <f>C38/(100*E37)</f>
        <v>1.1111111111111112</v>
      </c>
      <c r="F38" s="24">
        <v>6.66</v>
      </c>
      <c r="J38" s="2" t="s">
        <v>78</v>
      </c>
      <c r="K38" s="2"/>
      <c r="L38" s="2" t="s">
        <v>50</v>
      </c>
      <c r="M38" s="2" t="s">
        <v>51</v>
      </c>
      <c r="N38" s="2"/>
      <c r="P38">
        <v>421</v>
      </c>
      <c r="Q38">
        <v>411</v>
      </c>
    </row>
    <row r="39" spans="2:20" x14ac:dyDescent="0.2">
      <c r="D39" s="15" t="s">
        <v>77</v>
      </c>
      <c r="E39" s="17">
        <v>4.7699999999999996</v>
      </c>
      <c r="J39" t="s">
        <v>69</v>
      </c>
      <c r="K39" s="18">
        <v>423</v>
      </c>
      <c r="L39" s="4">
        <f>MAX(0,E36-K39)</f>
        <v>0</v>
      </c>
      <c r="M39" s="4">
        <f>K41-L39</f>
        <v>4.7699999999999996</v>
      </c>
      <c r="O39" t="s">
        <v>94</v>
      </c>
      <c r="P39">
        <v>9.9250000000000007</v>
      </c>
      <c r="Q39">
        <v>5.03</v>
      </c>
      <c r="R39">
        <f>P39-Q39</f>
        <v>4.8950000000000005</v>
      </c>
    </row>
    <row r="40" spans="2:20" x14ac:dyDescent="0.2">
      <c r="J40" t="s">
        <v>64</v>
      </c>
      <c r="K40" s="4">
        <f>E37</f>
        <v>9</v>
      </c>
      <c r="O40" t="s">
        <v>95</v>
      </c>
      <c r="P40">
        <v>-0.63100000000000001</v>
      </c>
      <c r="Q40">
        <v>-0.40300000000000002</v>
      </c>
      <c r="R40">
        <f>P40-Q40</f>
        <v>-0.22799999999999998</v>
      </c>
    </row>
    <row r="41" spans="2:20" x14ac:dyDescent="0.2">
      <c r="B41" s="2" t="s">
        <v>79</v>
      </c>
      <c r="F41" s="2" t="s">
        <v>80</v>
      </c>
      <c r="J41" t="s">
        <v>68</v>
      </c>
      <c r="K41" s="4">
        <f>E39</f>
        <v>4.7699999999999996</v>
      </c>
      <c r="L41" s="19"/>
      <c r="M41" s="19"/>
      <c r="N41" s="19"/>
      <c r="O41" t="s">
        <v>96</v>
      </c>
      <c r="P41">
        <v>3.82</v>
      </c>
      <c r="Q41">
        <v>9.75</v>
      </c>
      <c r="R41">
        <f>P41-Q41</f>
        <v>-5.93</v>
      </c>
    </row>
    <row r="42" spans="2:20" x14ac:dyDescent="0.2">
      <c r="B42" s="25" t="s">
        <v>75</v>
      </c>
      <c r="C42" s="26"/>
      <c r="D42" s="27">
        <f>-E39*100*E37+F38</f>
        <v>-4286.3399999999992</v>
      </c>
      <c r="F42" s="25" t="s">
        <v>75</v>
      </c>
      <c r="G42" s="26"/>
      <c r="H42" s="27">
        <f>E39*100*E37+F38</f>
        <v>4299.6599999999989</v>
      </c>
      <c r="O42" t="s">
        <v>97</v>
      </c>
      <c r="P42">
        <v>0.376</v>
      </c>
      <c r="Q42">
        <v>0.64600000000000002</v>
      </c>
      <c r="R42">
        <f>P42-Q42</f>
        <v>-0.27</v>
      </c>
    </row>
    <row r="43" spans="2:20" x14ac:dyDescent="0.2">
      <c r="B43" s="28" t="s">
        <v>71</v>
      </c>
      <c r="C43" s="29" t="s">
        <v>81</v>
      </c>
      <c r="D43" s="28" t="s">
        <v>72</v>
      </c>
      <c r="F43" s="28" t="s">
        <v>71</v>
      </c>
      <c r="G43" s="29" t="s">
        <v>76</v>
      </c>
      <c r="H43" s="28" t="s">
        <v>72</v>
      </c>
    </row>
    <row r="44" spans="2:20" x14ac:dyDescent="0.2">
      <c r="B44" s="30">
        <f>TRUNC((D42-D29)/(100*E37),3)</f>
        <v>-5.8730000000000002</v>
      </c>
      <c r="C44" s="30">
        <f>D42/(100*E37)</f>
        <v>-4.7625999999999991</v>
      </c>
      <c r="D44" s="30">
        <f>TRUNC((D42+E29)/(100*E37),3)</f>
        <v>-3.6509999999999998</v>
      </c>
      <c r="F44" s="30">
        <f>TRUNC((H42-D29)/(100*E37),3)</f>
        <v>3.6659999999999999</v>
      </c>
      <c r="G44" s="30">
        <f>H42/(100*E37)</f>
        <v>4.7773999999999992</v>
      </c>
      <c r="H44" s="30">
        <f>TRUNC((H42+E29)/(100*E37),3)</f>
        <v>5.8879999999999999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3:N10"/>
  <sheetViews>
    <sheetView workbookViewId="0">
      <selection activeCell="A12" sqref="A12"/>
    </sheetView>
  </sheetViews>
  <sheetFormatPr baseColWidth="10" defaultRowHeight="12.75" x14ac:dyDescent="0.2"/>
  <sheetData>
    <row r="3" spans="1:14" x14ac:dyDescent="0.2">
      <c r="D3" s="2" t="s">
        <v>86</v>
      </c>
      <c r="E3" t="s">
        <v>64</v>
      </c>
      <c r="G3" t="s">
        <v>62</v>
      </c>
      <c r="H3" t="s">
        <v>55</v>
      </c>
      <c r="I3" t="s">
        <v>56</v>
      </c>
      <c r="J3" t="s">
        <v>57</v>
      </c>
      <c r="K3" s="2" t="s">
        <v>58</v>
      </c>
      <c r="M3" t="s">
        <v>65</v>
      </c>
      <c r="N3" t="s">
        <v>66</v>
      </c>
    </row>
    <row r="4" spans="1:14" x14ac:dyDescent="0.2">
      <c r="A4" s="2" t="s">
        <v>61</v>
      </c>
      <c r="E4">
        <v>10</v>
      </c>
      <c r="F4" t="s">
        <v>0</v>
      </c>
      <c r="G4">
        <v>2</v>
      </c>
      <c r="H4">
        <v>-1.2</v>
      </c>
      <c r="I4" s="7">
        <f>(G4+H4)*100*E4</f>
        <v>800</v>
      </c>
      <c r="J4" s="7">
        <f>-H4*100*E4</f>
        <v>1200</v>
      </c>
      <c r="K4" s="10">
        <f>J4/I4</f>
        <v>1.5</v>
      </c>
    </row>
    <row r="5" spans="1:14" x14ac:dyDescent="0.2">
      <c r="A5" t="s">
        <v>54</v>
      </c>
      <c r="B5" t="s">
        <v>60</v>
      </c>
      <c r="E5">
        <v>50</v>
      </c>
      <c r="F5" t="s">
        <v>1</v>
      </c>
      <c r="G5">
        <v>1</v>
      </c>
      <c r="H5">
        <v>0.4</v>
      </c>
      <c r="I5" s="7">
        <f>H5*100*E5</f>
        <v>2000</v>
      </c>
      <c r="J5" s="7">
        <f>G5*100*E5-I5</f>
        <v>3000</v>
      </c>
      <c r="K5" s="10">
        <f>J5/I5</f>
        <v>1.5</v>
      </c>
    </row>
    <row r="6" spans="1:14" x14ac:dyDescent="0.2">
      <c r="A6" t="s">
        <v>59</v>
      </c>
      <c r="B6" t="s">
        <v>60</v>
      </c>
    </row>
    <row r="8" spans="1:14" x14ac:dyDescent="0.2">
      <c r="A8" s="2" t="s">
        <v>63</v>
      </c>
    </row>
    <row r="9" spans="1:14" x14ac:dyDescent="0.2">
      <c r="A9" t="s">
        <v>87</v>
      </c>
      <c r="B9" t="s">
        <v>48</v>
      </c>
      <c r="C9" t="s">
        <v>49</v>
      </c>
    </row>
    <row r="10" spans="1:14" x14ac:dyDescent="0.2">
      <c r="A10" t="s">
        <v>88</v>
      </c>
      <c r="B10" t="s">
        <v>48</v>
      </c>
      <c r="C10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B4:I10"/>
  <sheetViews>
    <sheetView tabSelected="1" workbookViewId="0">
      <selection activeCell="A17" sqref="A17"/>
    </sheetView>
  </sheetViews>
  <sheetFormatPr baseColWidth="10" defaultRowHeight="12.75" x14ac:dyDescent="0.2"/>
  <cols>
    <col min="2" max="2" width="14.42578125" bestFit="1" customWidth="1"/>
  </cols>
  <sheetData>
    <row r="4" spans="2:9" x14ac:dyDescent="0.2">
      <c r="E4" t="s">
        <v>46</v>
      </c>
      <c r="F4" t="s">
        <v>47</v>
      </c>
    </row>
    <row r="5" spans="2:9" x14ac:dyDescent="0.2">
      <c r="B5" t="s">
        <v>28</v>
      </c>
      <c r="C5">
        <v>60</v>
      </c>
      <c r="E5">
        <f>(LN(C6/C5)+(C8-C9+C7^2/2)*C10)/(C7*SQRT(C10))</f>
        <v>0.44620697811148263</v>
      </c>
      <c r="F5">
        <f>E5-C7*SQRT(C10)</f>
        <v>-1.1969606944040156</v>
      </c>
      <c r="H5" s="9"/>
      <c r="I5" s="9"/>
    </row>
    <row r="6" spans="2:9" x14ac:dyDescent="0.2">
      <c r="B6" t="s">
        <v>41</v>
      </c>
      <c r="C6">
        <v>59</v>
      </c>
    </row>
    <row r="7" spans="2:9" x14ac:dyDescent="0.2">
      <c r="B7" t="s">
        <v>42</v>
      </c>
      <c r="C7">
        <v>0.3</v>
      </c>
    </row>
    <row r="8" spans="2:9" x14ac:dyDescent="0.2">
      <c r="B8" t="s">
        <v>43</v>
      </c>
      <c r="C8">
        <v>0.01</v>
      </c>
    </row>
    <row r="9" spans="2:9" x14ac:dyDescent="0.2">
      <c r="B9" t="s">
        <v>44</v>
      </c>
      <c r="C9">
        <v>0.03</v>
      </c>
    </row>
    <row r="10" spans="2:9" x14ac:dyDescent="0.2">
      <c r="B10" t="s">
        <v>45</v>
      </c>
      <c r="C10">
        <v>30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donnees</vt:lpstr>
      <vt:lpstr>graph</vt:lpstr>
      <vt:lpstr>calculs</vt:lpstr>
      <vt:lpstr>Spreads</vt:lpstr>
      <vt:lpstr>price</vt:lpstr>
    </vt:vector>
  </TitlesOfParts>
  <Company>Etat de Genève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Alexis (CHA)</dc:creator>
  <cp:lastModifiedBy>Alexis Martin</cp:lastModifiedBy>
  <dcterms:created xsi:type="dcterms:W3CDTF">2022-02-15T15:09:06Z</dcterms:created>
  <dcterms:modified xsi:type="dcterms:W3CDTF">2022-05-29T17:21:38Z</dcterms:modified>
</cp:coreProperties>
</file>