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C:\Users\aldoh\Documents\NewTrading\Formation BPT\"/>
    </mc:Choice>
  </mc:AlternateContent>
  <xr:revisionPtr revIDLastSave="0" documentId="13_ncr:1_{85410DFA-4A79-481E-BAD7-6F7E8FE43954}" xr6:coauthVersionLast="47" xr6:coauthVersionMax="47" xr10:uidLastSave="{00000000-0000-0000-0000-000000000000}"/>
  <workbookProtection workbookAlgorithmName="SHA-512" workbookHashValue="nu0nAxi1l/0fXY7GDCSaTnGV4WDi31L1yecbeWnCgxbTah+u9RlgifMD7yhfgbnYq2gOuOrJJRDWNfPVkxQjiQ==" workbookSaltValue="RC0Fbumw/REBxMBAyre0UQ==" workbookSpinCount="100000" lockStructure="1"/>
  <bookViews>
    <workbookView xWindow="-120" yWindow="-120" windowWidth="29040" windowHeight="17640" tabRatio="779" xr2:uid="{00000000-000D-0000-FFFF-FFFF00000000}"/>
  </bookViews>
  <sheets>
    <sheet name="Implied Volatility Calculato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 s="1"/>
  <c r="F10" i="1"/>
  <c r="E10" i="1" s="1"/>
  <c r="D10" i="1" s="1"/>
  <c r="D11" i="1" s="1"/>
  <c r="F14" i="1"/>
  <c r="E14" i="1" s="1"/>
  <c r="D14" i="1" s="1"/>
  <c r="D15" i="1" s="1"/>
  <c r="F18" i="1"/>
  <c r="E18" i="1" s="1"/>
  <c r="D18" i="1" s="1"/>
  <c r="D19" i="1" s="1"/>
  <c r="D16" i="1" l="1"/>
  <c r="D17" i="1"/>
  <c r="D13" i="1"/>
  <c r="D12" i="1"/>
  <c r="D21" i="1"/>
  <c r="D20" i="1"/>
  <c r="D9" i="1"/>
</calcChain>
</file>

<file path=xl/sharedStrings.xml><?xml version="1.0" encoding="utf-8"?>
<sst xmlns="http://schemas.openxmlformats.org/spreadsheetml/2006/main" count="22" uniqueCount="19">
  <si>
    <t>Implied Volatility Calculator</t>
  </si>
  <si>
    <t>Sq. Rt.</t>
  </si>
  <si>
    <t>Days</t>
  </si>
  <si>
    <t>Stock Price</t>
  </si>
  <si>
    <t>Implied Volatility</t>
  </si>
  <si>
    <t>1 Year Range</t>
  </si>
  <si>
    <t>-</t>
  </si>
  <si>
    <t>Implied Range</t>
  </si>
  <si>
    <t>1 Year 1 SD High Range</t>
  </si>
  <si>
    <t>1 Year 1 SD Low Range</t>
  </si>
  <si>
    <t>1 Month Implied</t>
  </si>
  <si>
    <t>1 Month 1 SD High Range</t>
  </si>
  <si>
    <t>1 Month 1 SD Low Range</t>
  </si>
  <si>
    <t>1 Week Implied</t>
  </si>
  <si>
    <t>1 Week 1 SD High Range</t>
  </si>
  <si>
    <t>1 Week 1 SD Low Range</t>
  </si>
  <si>
    <t>1 Day Implied</t>
  </si>
  <si>
    <t>1 Day 1 SD High Range</t>
  </si>
  <si>
    <t>1 Day 1 SD Low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</si>
</sst>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_-* #,##0.000_-;\-* #,##0.000_-;_-* &quot;-&quot;??_-;_-@_-"/>
    <numFmt numFmtId="166" formatCode="_-* #,##0_-;\-* #,##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18"/>
      <color theme="0" tint="-0.249977111117893"/>
      <name val="Arial"/>
      <family val="2"/>
    </font>
    <font>
      <b/>
      <sz val="18"/>
      <color rgb="FFC00000"/>
      <name val="Arial"/>
      <family val="2"/>
    </font>
    <font>
      <sz val="18"/>
      <color theme="0" tint="-0.249977111117893"/>
      <name val="Arial"/>
      <family val="2"/>
    </font>
    <font>
      <b/>
      <sz val="18"/>
      <color rgb="FFFFFF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/>
    <xf numFmtId="164" fontId="4" fillId="3" borderId="0" xfId="0" applyNumberFormat="1" applyFont="1" applyFill="1"/>
    <xf numFmtId="0" fontId="5" fillId="3" borderId="0" xfId="0" applyFont="1" applyFill="1"/>
    <xf numFmtId="0" fontId="5" fillId="4" borderId="0" xfId="0" applyFont="1" applyFill="1"/>
    <xf numFmtId="164" fontId="6" fillId="4" borderId="0" xfId="0" applyNumberFormat="1" applyFont="1" applyFill="1"/>
    <xf numFmtId="0" fontId="4" fillId="4" borderId="0" xfId="0" applyFont="1" applyFill="1"/>
    <xf numFmtId="165" fontId="7" fillId="2" borderId="0" xfId="3" applyNumberFormat="1" applyFont="1" applyFill="1" applyBorder="1"/>
    <xf numFmtId="10" fontId="7" fillId="2" borderId="0" xfId="2" applyNumberFormat="1" applyFont="1" applyFill="1" applyBorder="1"/>
    <xf numFmtId="10" fontId="8" fillId="2" borderId="0" xfId="2" applyNumberFormat="1" applyFont="1" applyFill="1" applyBorder="1"/>
    <xf numFmtId="0" fontId="8" fillId="2" borderId="0" xfId="0" applyFont="1" applyFill="1"/>
    <xf numFmtId="165" fontId="7" fillId="3" borderId="0" xfId="3" applyNumberFormat="1" applyFont="1" applyFill="1" applyBorder="1"/>
    <xf numFmtId="0" fontId="7" fillId="3" borderId="0" xfId="0" applyFont="1" applyFill="1"/>
    <xf numFmtId="165" fontId="7" fillId="4" borderId="0" xfId="3" applyNumberFormat="1" applyFont="1" applyFill="1" applyBorder="1"/>
    <xf numFmtId="0" fontId="7" fillId="4" borderId="0" xfId="0" applyFont="1" applyFill="1"/>
    <xf numFmtId="0" fontId="2" fillId="3" borderId="0" xfId="0" applyFont="1" applyFill="1"/>
    <xf numFmtId="166" fontId="7" fillId="2" borderId="0" xfId="3" applyNumberFormat="1" applyFont="1" applyFill="1" applyBorder="1"/>
    <xf numFmtId="0" fontId="5" fillId="5" borderId="0" xfId="0" applyFont="1" applyFill="1"/>
    <xf numFmtId="10" fontId="4" fillId="5" borderId="0" xfId="2" applyNumberFormat="1" applyFont="1" applyFill="1" applyBorder="1" applyProtection="1">
      <protection locked="0"/>
    </xf>
    <xf numFmtId="0" fontId="4" fillId="5" borderId="0" xfId="0" applyFont="1" applyFill="1"/>
    <xf numFmtId="164" fontId="4" fillId="5" borderId="0" xfId="1" applyFont="1" applyFill="1" applyBorder="1" applyProtection="1">
      <protection locked="0"/>
    </xf>
    <xf numFmtId="0" fontId="5" fillId="2" borderId="0" xfId="0" applyFont="1" applyFill="1" applyAlignment="1">
      <alignment horizontal="center"/>
    </xf>
    <xf numFmtId="0" fontId="3" fillId="3" borderId="0" xfId="0" applyFont="1" applyFill="1"/>
    <xf numFmtId="0" fontId="3" fillId="3" borderId="0" xfId="0" applyFont="1" applyFill="1" applyAlignment="1">
      <alignment horizontal="center"/>
    </xf>
  </cellXfs>
  <cellStyles count="4">
    <cellStyle name="Comma 2" xfId="3" xr:uid="{00000000-0005-0000-0000-000000000000}"/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804332</xdr:colOff>
      <xdr:row>0</xdr:row>
      <xdr:rowOff>177800</xdr:rowOff>
    </xdr:from>
    <xdr:ext cx="4606785" cy="99573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3132" y="177800"/>
          <a:ext cx="4606785" cy="995730"/>
        </a:xfrm>
        <a:prstGeom prst="rect">
          <a:avLst/>
        </a:prstGeom>
      </xdr:spPr>
    </xdr:pic>
    <xdr:clientData/>
  </xdr:oneCellAnchor>
  <xdr:twoCellAnchor>
    <xdr:from>
      <xdr:col>1</xdr:col>
      <xdr:colOff>1</xdr:colOff>
      <xdr:row>1</xdr:row>
      <xdr:rowOff>220131</xdr:rowOff>
    </xdr:from>
    <xdr:to>
      <xdr:col>7</xdr:col>
      <xdr:colOff>8467</xdr:colOff>
      <xdr:row>1</xdr:row>
      <xdr:rowOff>692571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spect="1"/>
        </xdr:cNvSpPr>
      </xdr:nvSpPr>
      <xdr:spPr>
        <a:xfrm>
          <a:off x="457201" y="1109131"/>
          <a:ext cx="6307666" cy="4724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3200" b="1">
              <a:solidFill>
                <a:schemeClr val="accent1"/>
              </a:solidFill>
            </a:rPr>
            <a:t>Implied Volatility</a:t>
          </a:r>
          <a:r>
            <a:rPr lang="en-US" sz="3200" b="1" baseline="0">
              <a:solidFill>
                <a:schemeClr val="accent1"/>
              </a:solidFill>
            </a:rPr>
            <a:t> Calculator</a:t>
          </a:r>
          <a:endParaRPr lang="en-US" sz="3200" b="1">
            <a:solidFill>
              <a:schemeClr val="accent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showGridLines="0" showRowColHeaders="0" tabSelected="1" zoomScale="90" zoomScaleNormal="90" workbookViewId="0">
      <selection activeCell="D11" sqref="D11"/>
    </sheetView>
  </sheetViews>
  <sheetFormatPr baseColWidth="10" defaultColWidth="9.140625" defaultRowHeight="23.25" x14ac:dyDescent="0.35"/>
  <cols>
    <col min="1" max="1" width="6.5703125" style="1" customWidth="1"/>
    <col min="2" max="2" width="1.42578125" style="1" customWidth="1"/>
    <col min="3" max="3" width="42.5703125" style="2" customWidth="1"/>
    <col min="4" max="4" width="16" style="2" bestFit="1" customWidth="1"/>
    <col min="5" max="6" width="15.42578125" style="2" customWidth="1"/>
    <col min="7" max="7" width="1.140625" style="1" customWidth="1"/>
    <col min="8" max="16384" width="9.140625" style="1"/>
  </cols>
  <sheetData>
    <row r="1" spans="1:16" ht="70.349999999999994" customHeight="1" x14ac:dyDescent="0.35">
      <c r="A1" s="19"/>
      <c r="B1" s="27"/>
      <c r="C1" s="27"/>
      <c r="D1" s="27"/>
      <c r="E1" s="27"/>
      <c r="F1" s="27"/>
      <c r="G1" s="27"/>
      <c r="H1" s="19"/>
      <c r="I1" s="19"/>
      <c r="J1" s="19"/>
      <c r="K1" s="19"/>
      <c r="L1" s="19"/>
      <c r="M1" s="19"/>
      <c r="N1" s="19"/>
      <c r="O1" s="19"/>
      <c r="P1" s="19"/>
    </row>
    <row r="2" spans="1:16" ht="60" customHeight="1" x14ac:dyDescent="0.35">
      <c r="A2" s="19"/>
      <c r="B2" s="27"/>
      <c r="C2" s="27"/>
      <c r="D2" s="27"/>
      <c r="E2" s="27"/>
      <c r="F2" s="27"/>
      <c r="G2" s="27"/>
      <c r="H2" s="19"/>
      <c r="I2" s="19"/>
      <c r="J2" s="19"/>
      <c r="K2" s="19"/>
      <c r="L2" s="19"/>
      <c r="M2" s="19"/>
      <c r="N2" s="19"/>
      <c r="O2" s="19"/>
      <c r="P2" s="19"/>
    </row>
    <row r="3" spans="1:16" x14ac:dyDescent="0.35">
      <c r="A3" s="19"/>
      <c r="B3" s="3"/>
      <c r="C3" s="14" t="s">
        <v>0</v>
      </c>
      <c r="D3" s="14"/>
      <c r="E3" s="25" t="s">
        <v>1</v>
      </c>
      <c r="F3" s="25" t="s">
        <v>2</v>
      </c>
      <c r="G3" s="3"/>
      <c r="H3" s="19"/>
      <c r="I3" s="19"/>
      <c r="J3" s="19"/>
      <c r="K3" s="19"/>
      <c r="L3" s="19"/>
      <c r="M3" s="19"/>
      <c r="N3" s="19"/>
      <c r="O3" s="19"/>
      <c r="P3" s="19"/>
    </row>
    <row r="4" spans="1:16" x14ac:dyDescent="0.35">
      <c r="A4" s="19"/>
      <c r="B4" s="3"/>
      <c r="C4" s="23" t="s">
        <v>3</v>
      </c>
      <c r="D4" s="24">
        <v>363.6</v>
      </c>
      <c r="E4" s="21"/>
      <c r="F4" s="21"/>
      <c r="G4" s="3"/>
      <c r="H4" s="19"/>
      <c r="I4" s="19"/>
      <c r="J4" s="19"/>
      <c r="K4" s="19"/>
      <c r="L4" s="19"/>
      <c r="M4" s="19"/>
      <c r="N4" s="19"/>
      <c r="O4" s="19"/>
      <c r="P4" s="19"/>
    </row>
    <row r="5" spans="1:16" x14ac:dyDescent="0.35">
      <c r="A5" s="19"/>
      <c r="B5" s="3"/>
      <c r="C5" s="23" t="s">
        <v>4</v>
      </c>
      <c r="D5" s="22">
        <v>0.311</v>
      </c>
      <c r="E5" s="21"/>
      <c r="F5" s="21"/>
      <c r="G5" s="3"/>
      <c r="H5" s="19"/>
      <c r="I5" s="19"/>
      <c r="J5" s="19"/>
      <c r="K5" s="19"/>
      <c r="L5" s="19"/>
      <c r="M5" s="19"/>
      <c r="N5" s="19"/>
      <c r="O5" s="19"/>
      <c r="P5" s="19"/>
    </row>
    <row r="6" spans="1:16" x14ac:dyDescent="0.35">
      <c r="A6" s="19"/>
      <c r="B6" s="3"/>
      <c r="C6" s="14" t="s">
        <v>5</v>
      </c>
      <c r="D6" s="13">
        <f>D5</f>
        <v>0.311</v>
      </c>
      <c r="E6" s="12" t="s">
        <v>6</v>
      </c>
      <c r="F6" s="20">
        <v>252</v>
      </c>
      <c r="G6" s="3"/>
      <c r="H6" s="19"/>
      <c r="I6" s="19"/>
      <c r="J6" s="19"/>
      <c r="K6" s="19"/>
      <c r="L6" s="19"/>
      <c r="M6" s="19"/>
      <c r="N6" s="19"/>
      <c r="O6" s="19"/>
      <c r="P6" s="19"/>
    </row>
    <row r="7" spans="1:16" x14ac:dyDescent="0.35">
      <c r="A7" s="19"/>
      <c r="B7" s="3"/>
      <c r="C7" s="10" t="s">
        <v>7</v>
      </c>
      <c r="D7" s="9">
        <f>D4*D5</f>
        <v>113.07960000000001</v>
      </c>
      <c r="E7" s="8"/>
      <c r="F7" s="8"/>
      <c r="G7" s="3"/>
      <c r="H7" s="19"/>
      <c r="I7" s="19"/>
      <c r="J7" s="19"/>
      <c r="K7" s="19"/>
      <c r="L7" s="19"/>
      <c r="M7" s="19"/>
      <c r="N7" s="19"/>
      <c r="O7" s="19"/>
      <c r="P7" s="19"/>
    </row>
    <row r="8" spans="1:16" x14ac:dyDescent="0.35">
      <c r="A8" s="19"/>
      <c r="B8" s="3"/>
      <c r="C8" s="5" t="s">
        <v>8</v>
      </c>
      <c r="D8" s="6">
        <f>D4+D7</f>
        <v>476.67960000000005</v>
      </c>
      <c r="E8" s="7"/>
      <c r="F8" s="7"/>
      <c r="G8" s="3"/>
      <c r="H8" s="19"/>
      <c r="I8" s="19"/>
      <c r="J8" s="19"/>
      <c r="K8" s="19"/>
      <c r="L8" s="19"/>
      <c r="M8" s="19"/>
      <c r="N8" s="19"/>
      <c r="O8" s="19"/>
      <c r="P8" s="19"/>
    </row>
    <row r="9" spans="1:16" x14ac:dyDescent="0.35">
      <c r="A9" s="19"/>
      <c r="B9" s="3"/>
      <c r="C9" s="5" t="s">
        <v>9</v>
      </c>
      <c r="D9" s="6">
        <f>D4-D7</f>
        <v>250.5204</v>
      </c>
      <c r="E9" s="7"/>
      <c r="F9" s="7"/>
      <c r="G9" s="3"/>
      <c r="H9" s="19"/>
      <c r="I9" s="19"/>
      <c r="J9" s="19"/>
      <c r="K9" s="19"/>
      <c r="L9" s="19"/>
      <c r="M9" s="19"/>
      <c r="N9" s="19"/>
      <c r="O9" s="19"/>
      <c r="P9" s="19"/>
    </row>
    <row r="10" spans="1:16" x14ac:dyDescent="0.35">
      <c r="A10" s="19"/>
      <c r="B10" s="3"/>
      <c r="C10" s="14" t="s">
        <v>10</v>
      </c>
      <c r="D10" s="13">
        <f>E10*D5</f>
        <v>9.1890678664360861E-2</v>
      </c>
      <c r="E10" s="12">
        <f>SQRT(F10)</f>
        <v>0.29546842014263941</v>
      </c>
      <c r="F10" s="11">
        <f>22/F6</f>
        <v>8.7301587301587297E-2</v>
      </c>
      <c r="G10" s="3"/>
      <c r="H10" s="19"/>
      <c r="I10" s="19"/>
      <c r="J10" s="19"/>
      <c r="K10" s="19"/>
      <c r="L10" s="19"/>
      <c r="M10" s="19"/>
      <c r="N10" s="19"/>
      <c r="O10" s="19"/>
      <c r="P10" s="19"/>
    </row>
    <row r="11" spans="1:16" x14ac:dyDescent="0.35">
      <c r="A11" s="19"/>
      <c r="B11" s="3"/>
      <c r="C11" s="10" t="s">
        <v>7</v>
      </c>
      <c r="D11" s="9">
        <f>D4*D10</f>
        <v>33.411450762361611</v>
      </c>
      <c r="E11" s="18"/>
      <c r="F11" s="17"/>
      <c r="G11" s="3"/>
      <c r="H11" s="19"/>
      <c r="I11" s="19"/>
      <c r="J11" s="19"/>
      <c r="K11" s="19"/>
      <c r="L11" s="19"/>
      <c r="M11" s="19"/>
      <c r="N11" s="19"/>
      <c r="O11" s="19"/>
      <c r="P11" s="19"/>
    </row>
    <row r="12" spans="1:16" x14ac:dyDescent="0.35">
      <c r="A12" s="19"/>
      <c r="B12" s="3"/>
      <c r="C12" s="5" t="s">
        <v>11</v>
      </c>
      <c r="D12" s="6">
        <f>D4+D11</f>
        <v>397.01145076236162</v>
      </c>
      <c r="E12" s="16"/>
      <c r="F12" s="15"/>
      <c r="G12" s="3"/>
      <c r="H12" s="19"/>
      <c r="I12" s="19"/>
      <c r="J12" s="19"/>
      <c r="K12" s="19"/>
      <c r="L12" s="19"/>
      <c r="M12" s="19"/>
      <c r="N12" s="19"/>
      <c r="O12" s="19"/>
      <c r="P12" s="19"/>
    </row>
    <row r="13" spans="1:16" x14ac:dyDescent="0.35">
      <c r="A13" s="19"/>
      <c r="B13" s="3"/>
      <c r="C13" s="5" t="s">
        <v>12</v>
      </c>
      <c r="D13" s="6">
        <f>D4-D11</f>
        <v>330.18854923763843</v>
      </c>
      <c r="E13" s="16"/>
      <c r="F13" s="15"/>
      <c r="G13" s="3"/>
      <c r="H13" s="19"/>
      <c r="I13" s="19"/>
      <c r="J13" s="19"/>
      <c r="K13" s="19"/>
      <c r="L13" s="19"/>
      <c r="M13" s="19"/>
      <c r="N13" s="19"/>
      <c r="O13" s="19"/>
      <c r="P13" s="19"/>
    </row>
    <row r="14" spans="1:16" x14ac:dyDescent="0.35">
      <c r="A14" s="19"/>
      <c r="B14" s="3"/>
      <c r="C14" s="14" t="s">
        <v>13</v>
      </c>
      <c r="D14" s="13">
        <f>E14*D5</f>
        <v>4.3807162203428104E-2</v>
      </c>
      <c r="E14" s="12">
        <f>SQRT(F14)</f>
        <v>0.14085904245475275</v>
      </c>
      <c r="F14" s="11">
        <f>5/F6</f>
        <v>1.984126984126984E-2</v>
      </c>
      <c r="G14" s="3"/>
      <c r="H14" s="19"/>
      <c r="I14" s="19"/>
      <c r="J14" s="19"/>
      <c r="K14" s="19"/>
      <c r="L14" s="19"/>
      <c r="M14" s="19"/>
      <c r="N14" s="19"/>
      <c r="O14" s="19"/>
      <c r="P14" s="19"/>
    </row>
    <row r="15" spans="1:16" x14ac:dyDescent="0.35">
      <c r="A15" s="19"/>
      <c r="B15" s="3"/>
      <c r="C15" s="10" t="s">
        <v>7</v>
      </c>
      <c r="D15" s="9">
        <f>D4*D14</f>
        <v>15.928284177166459</v>
      </c>
      <c r="E15" s="18"/>
      <c r="F15" s="17"/>
      <c r="G15" s="3"/>
      <c r="H15" s="19"/>
      <c r="I15" s="19"/>
      <c r="J15" s="19"/>
      <c r="K15" s="19"/>
      <c r="L15" s="19"/>
      <c r="M15" s="19"/>
      <c r="N15" s="19"/>
      <c r="O15" s="19"/>
      <c r="P15" s="19"/>
    </row>
    <row r="16" spans="1:16" x14ac:dyDescent="0.35">
      <c r="A16" s="19"/>
      <c r="B16" s="3"/>
      <c r="C16" s="5" t="s">
        <v>14</v>
      </c>
      <c r="D16" s="6">
        <f>D4+D15</f>
        <v>379.52828417716648</v>
      </c>
      <c r="E16" s="16"/>
      <c r="F16" s="15"/>
      <c r="G16" s="3"/>
      <c r="H16" s="19"/>
      <c r="I16" s="19"/>
      <c r="J16" s="19"/>
      <c r="K16" s="19"/>
      <c r="L16" s="19"/>
      <c r="M16" s="19"/>
      <c r="N16" s="19"/>
      <c r="O16" s="19"/>
      <c r="P16" s="19"/>
    </row>
    <row r="17" spans="1:16" x14ac:dyDescent="0.35">
      <c r="A17" s="19"/>
      <c r="B17" s="3"/>
      <c r="C17" s="5" t="s">
        <v>15</v>
      </c>
      <c r="D17" s="6">
        <f>D4-D15</f>
        <v>347.67171582283356</v>
      </c>
      <c r="E17" s="16"/>
      <c r="F17" s="15"/>
      <c r="G17" s="3"/>
      <c r="H17" s="19"/>
      <c r="I17" s="19"/>
      <c r="J17" s="19"/>
      <c r="K17" s="19"/>
      <c r="L17" s="19"/>
      <c r="M17" s="19"/>
      <c r="N17" s="19"/>
      <c r="O17" s="19"/>
      <c r="P17" s="19"/>
    </row>
    <row r="18" spans="1:16" x14ac:dyDescent="0.35">
      <c r="A18" s="19"/>
      <c r="B18" s="3"/>
      <c r="C18" s="14" t="s">
        <v>16</v>
      </c>
      <c r="D18" s="13">
        <f>E18*D5</f>
        <v>1.9591158517644945E-2</v>
      </c>
      <c r="E18" s="12">
        <f>SQRT(F18)</f>
        <v>6.2994078834871209E-2</v>
      </c>
      <c r="F18" s="11">
        <f>1/F6</f>
        <v>3.968253968253968E-3</v>
      </c>
      <c r="G18" s="3"/>
      <c r="H18" s="19"/>
      <c r="I18" s="19"/>
      <c r="J18" s="19"/>
      <c r="K18" s="19"/>
      <c r="L18" s="19"/>
      <c r="M18" s="19"/>
      <c r="N18" s="19"/>
      <c r="O18" s="19"/>
      <c r="P18" s="19"/>
    </row>
    <row r="19" spans="1:16" x14ac:dyDescent="0.35">
      <c r="A19" s="19"/>
      <c r="B19" s="3"/>
      <c r="C19" s="10" t="s">
        <v>7</v>
      </c>
      <c r="D19" s="9">
        <f>D4*D18</f>
        <v>7.1233452370157027</v>
      </c>
      <c r="E19" s="8"/>
      <c r="F19" s="8"/>
      <c r="G19" s="3"/>
      <c r="H19" s="19"/>
      <c r="I19" s="19"/>
      <c r="J19" s="19"/>
      <c r="K19" s="19"/>
      <c r="L19" s="19"/>
      <c r="M19" s="19"/>
      <c r="N19" s="19"/>
      <c r="O19" s="19"/>
      <c r="P19" s="19"/>
    </row>
    <row r="20" spans="1:16" x14ac:dyDescent="0.35">
      <c r="A20" s="19"/>
      <c r="B20" s="3"/>
      <c r="C20" s="5" t="s">
        <v>17</v>
      </c>
      <c r="D20" s="6">
        <f>D4+D19</f>
        <v>370.72334523701574</v>
      </c>
      <c r="E20" s="7"/>
      <c r="F20" s="7"/>
      <c r="G20" s="3"/>
      <c r="H20" s="19"/>
      <c r="I20" s="19"/>
      <c r="J20" s="19"/>
      <c r="K20" s="19"/>
      <c r="L20" s="19"/>
      <c r="M20" s="19"/>
      <c r="N20" s="19"/>
      <c r="O20" s="19"/>
      <c r="P20" s="19"/>
    </row>
    <row r="21" spans="1:16" x14ac:dyDescent="0.35">
      <c r="A21" s="19"/>
      <c r="B21" s="3"/>
      <c r="C21" s="5" t="s">
        <v>18</v>
      </c>
      <c r="D21" s="6">
        <f>D4-D19</f>
        <v>356.47665476298431</v>
      </c>
      <c r="E21" s="5"/>
      <c r="F21" s="5"/>
      <c r="G21" s="3"/>
      <c r="H21" s="19"/>
      <c r="I21" s="19"/>
      <c r="J21" s="19"/>
      <c r="K21" s="19"/>
      <c r="L21" s="19"/>
      <c r="M21" s="19"/>
      <c r="N21" s="19"/>
      <c r="O21" s="19"/>
      <c r="P21" s="19"/>
    </row>
    <row r="22" spans="1:16" ht="8.25" customHeight="1" x14ac:dyDescent="0.35">
      <c r="A22" s="19"/>
      <c r="B22" s="3"/>
      <c r="C22" s="4"/>
      <c r="D22" s="4"/>
      <c r="E22" s="4"/>
      <c r="F22" s="4"/>
      <c r="G22" s="3"/>
      <c r="H22" s="19"/>
      <c r="I22" s="19"/>
      <c r="J22" s="19"/>
      <c r="K22" s="19"/>
      <c r="L22" s="19"/>
      <c r="M22" s="19"/>
      <c r="N22" s="19"/>
      <c r="O22" s="19"/>
      <c r="P22" s="19"/>
    </row>
    <row r="23" spans="1:16" x14ac:dyDescent="0.35">
      <c r="A23" s="19"/>
      <c r="B23" s="19"/>
      <c r="C23" s="26"/>
      <c r="D23" s="26"/>
      <c r="E23" s="26"/>
      <c r="F23" s="26"/>
      <c r="G23" s="19"/>
      <c r="H23" s="19"/>
      <c r="I23" s="19"/>
      <c r="J23" s="19"/>
      <c r="K23" s="19"/>
      <c r="L23" s="19"/>
      <c r="M23" s="19"/>
      <c r="N23" s="19"/>
      <c r="O23" s="19"/>
      <c r="P23" s="19"/>
    </row>
  </sheetData>
  <sheetProtection algorithmName="SHA-512" hashValue="s8OCyMGTa3UqKx2VD7lteviQEnOa3KQafQNJW6VhMqVkXxUpToX08SX0/xbqtHwG6TQhffeZYOZeM9J83SqvPg==" saltValue="iKdzqtrIaV0WD/TLAiU7qQ==" spinCount="100000" sheet="1" objects="1" scenarios="1"/>
  <mergeCells count="2">
    <mergeCell ref="B1:G1"/>
    <mergeCell ref="B2:G2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EC4CB3245A0344A0BE166E4BD723E7" ma:contentTypeVersion="2" ma:contentTypeDescription="Create a new document." ma:contentTypeScope="" ma:versionID="65e65bd67c680c55c0636911112c54fa">
  <xsd:schema xmlns:xsd="http://www.w3.org/2001/XMLSchema" xmlns:xs="http://www.w3.org/2001/XMLSchema" xmlns:p="http://schemas.microsoft.com/office/2006/metadata/properties" xmlns:ns2="c41bc342-f29d-4ce4-af29-5c1bc88cfb71" targetNamespace="http://schemas.microsoft.com/office/2006/metadata/properties" ma:root="true" ma:fieldsID="e6c37e7037e50c1f58ca2c7121f46086" ns2:_="">
    <xsd:import namespace="c41bc342-f29d-4ce4-af29-5c1bc88cf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1bc342-f29d-4ce4-af29-5c1bc88cf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E3A97-77B5-49B2-9003-2347DBA32096}">
  <ds:schemaRefs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c41bc342-f29d-4ce4-af29-5c1bc88cfb71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C98D0D7-4844-4A66-9B43-BFDFA5B404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1bc342-f29d-4ce4-af29-5c1bc88cfb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7247992-3B4A-493D-8F7E-8587F5C1FE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Implied Volatility Calculator</vt:lpstr>
    </vt:vector>
  </TitlesOfParts>
  <Manager/>
  <Company>Magna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Popik, Matthew</dc:creator>
  <cp:keywords/>
  <dc:description/>
  <cp:lastModifiedBy>Alexis Martin</cp:lastModifiedBy>
  <cp:revision/>
  <dcterms:created xsi:type="dcterms:W3CDTF">2021-11-04T23:22:33Z</dcterms:created>
  <dcterms:modified xsi:type="dcterms:W3CDTF">2022-09-29T20:38:06Z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0x01010004EC4CB3245A0344A0BE166E4BD723E7</vt:lpwstr>
  </property>
</Properties>
</file>