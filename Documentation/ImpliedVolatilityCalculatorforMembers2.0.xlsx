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kuhri\Documents\Documents\OneDrive\Documents\Dreamweaver\members_home\"/>
    </mc:Choice>
  </mc:AlternateContent>
  <xr:revisionPtr revIDLastSave="0" documentId="8_{CEECA034-8317-444D-A176-60AD379C81A1}" xr6:coauthVersionLast="47" xr6:coauthVersionMax="47" xr10:uidLastSave="{00000000-0000-0000-0000-000000000000}"/>
  <workbookProtection workbookAlgorithmName="SHA-512" workbookHashValue="nu0nAxi1l/0fXY7GDCSaTnGV4WDi31L1yecbeWnCgxbTah+u9RlgifMD7yhfgbnYq2gOuOrJJRDWNfPVkxQjiQ==" workbookSaltValue="RC0Fbumw/REBxMBAyre0UQ==" workbookSpinCount="100000" lockStructure="1"/>
  <bookViews>
    <workbookView xWindow="-108" yWindow="-108" windowWidth="23256" windowHeight="12456" tabRatio="779" xr2:uid="{00000000-000D-0000-FFFF-FFFF00000000}"/>
  </bookViews>
  <sheets>
    <sheet name="Implied Volatility Calcul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 s="1"/>
  <c r="F10" i="1"/>
  <c r="E10" i="1" s="1"/>
  <c r="D10" i="1" s="1"/>
  <c r="D11" i="1" s="1"/>
  <c r="F14" i="1"/>
  <c r="E14" i="1" s="1"/>
  <c r="D14" i="1" s="1"/>
  <c r="D15" i="1" s="1"/>
  <c r="F18" i="1"/>
  <c r="E18" i="1" s="1"/>
  <c r="D18" i="1" s="1"/>
  <c r="D19" i="1" s="1"/>
  <c r="D16" i="1" l="1"/>
  <c r="D17" i="1"/>
  <c r="D13" i="1"/>
  <c r="D12" i="1"/>
  <c r="D21" i="1"/>
  <c r="D20" i="1"/>
  <c r="D9" i="1"/>
</calcChain>
</file>

<file path=xl/sharedStrings.xml><?xml version="1.0" encoding="utf-8"?>
<sst xmlns="http://schemas.openxmlformats.org/spreadsheetml/2006/main" count="22" uniqueCount="19">
  <si>
    <t>Implied Volatility Calculator</t>
  </si>
  <si>
    <t>Sq. Rt.</t>
  </si>
  <si>
    <t>Days</t>
  </si>
  <si>
    <t>Stock Price</t>
  </si>
  <si>
    <t>Implied Volatility</t>
  </si>
  <si>
    <t>1 Year Range</t>
  </si>
  <si>
    <t>-</t>
  </si>
  <si>
    <t>Implied Range</t>
  </si>
  <si>
    <t>1 Year 1 SD High Range</t>
  </si>
  <si>
    <t>1 Year 1 SD Low Range</t>
  </si>
  <si>
    <t>1 Month Implied</t>
  </si>
  <si>
    <t>1 Month 1 SD High Range</t>
  </si>
  <si>
    <t>1 Month 1 SD Low Range</t>
  </si>
  <si>
    <t>1 Week Implied</t>
  </si>
  <si>
    <t>1 Week 1 SD High Range</t>
  </si>
  <si>
    <t>1 Week 1 SD Low Range</t>
  </si>
  <si>
    <t>1 Day Implied</t>
  </si>
  <si>
    <t>1 Day 1 SD High Range</t>
  </si>
  <si>
    <t>1 Day 1 SD Low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</si>
</sst>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 tint="-0.249977111117893"/>
      <name val="Arial"/>
      <family val="2"/>
    </font>
    <font>
      <b/>
      <sz val="18"/>
      <color rgb="FFC00000"/>
      <name val="Arial"/>
      <family val="2"/>
    </font>
    <font>
      <sz val="18"/>
      <color theme="0" tint="-0.249977111117893"/>
      <name val="Arial"/>
      <family val="2"/>
    </font>
    <font>
      <b/>
      <sz val="18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44" fontId="4" fillId="3" borderId="0" xfId="0" applyNumberFormat="1" applyFont="1" applyFill="1"/>
    <xf numFmtId="0" fontId="5" fillId="3" borderId="0" xfId="0" applyFont="1" applyFill="1"/>
    <xf numFmtId="0" fontId="5" fillId="4" borderId="0" xfId="0" applyFont="1" applyFill="1"/>
    <xf numFmtId="44" fontId="6" fillId="4" borderId="0" xfId="0" applyNumberFormat="1" applyFont="1" applyFill="1"/>
    <xf numFmtId="0" fontId="4" fillId="4" borderId="0" xfId="0" applyFont="1" applyFill="1"/>
    <xf numFmtId="164" fontId="7" fillId="2" borderId="0" xfId="3" applyNumberFormat="1" applyFont="1" applyFill="1" applyBorder="1"/>
    <xf numFmtId="10" fontId="7" fillId="2" borderId="0" xfId="2" applyNumberFormat="1" applyFont="1" applyFill="1" applyBorder="1"/>
    <xf numFmtId="10" fontId="8" fillId="2" borderId="0" xfId="2" applyNumberFormat="1" applyFont="1" applyFill="1" applyBorder="1"/>
    <xf numFmtId="0" fontId="8" fillId="2" borderId="0" xfId="0" applyFont="1" applyFill="1"/>
    <xf numFmtId="164" fontId="7" fillId="3" borderId="0" xfId="3" applyNumberFormat="1" applyFont="1" applyFill="1" applyBorder="1"/>
    <xf numFmtId="0" fontId="7" fillId="3" borderId="0" xfId="0" applyFont="1" applyFill="1"/>
    <xf numFmtId="164" fontId="7" fillId="4" borderId="0" xfId="3" applyNumberFormat="1" applyFont="1" applyFill="1" applyBorder="1"/>
    <xf numFmtId="0" fontId="7" fillId="4" borderId="0" xfId="0" applyFont="1" applyFill="1"/>
    <xf numFmtId="0" fontId="2" fillId="3" borderId="0" xfId="0" applyFont="1" applyFill="1"/>
    <xf numFmtId="165" fontId="7" fillId="2" borderId="0" xfId="3" applyNumberFormat="1" applyFont="1" applyFill="1" applyBorder="1"/>
    <xf numFmtId="0" fontId="5" fillId="5" borderId="0" xfId="0" applyFont="1" applyFill="1"/>
    <xf numFmtId="10" fontId="4" fillId="5" borderId="0" xfId="2" applyNumberFormat="1" applyFont="1" applyFill="1" applyBorder="1" applyProtection="1">
      <protection locked="0"/>
    </xf>
    <xf numFmtId="0" fontId="4" fillId="5" borderId="0" xfId="0" applyFont="1" applyFill="1"/>
    <xf numFmtId="44" fontId="4" fillId="5" borderId="0" xfId="1" applyFont="1" applyFill="1" applyBorder="1" applyProtection="1">
      <protection locked="0"/>
    </xf>
    <xf numFmtId="0" fontId="5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4">
    <cellStyle name="Comma 2" xfId="3" xr:uid="{00000000-0005-0000-0000-000000000000}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804332</xdr:colOff>
      <xdr:row>0</xdr:row>
      <xdr:rowOff>177800</xdr:rowOff>
    </xdr:from>
    <xdr:ext cx="4606785" cy="9957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132" y="177800"/>
          <a:ext cx="4606785" cy="995730"/>
        </a:xfrm>
        <a:prstGeom prst="rect">
          <a:avLst/>
        </a:prstGeom>
      </xdr:spPr>
    </xdr:pic>
    <xdr:clientData/>
  </xdr:oneCellAnchor>
  <xdr:twoCellAnchor>
    <xdr:from>
      <xdr:col>1</xdr:col>
      <xdr:colOff>1</xdr:colOff>
      <xdr:row>1</xdr:row>
      <xdr:rowOff>220131</xdr:rowOff>
    </xdr:from>
    <xdr:to>
      <xdr:col>7</xdr:col>
      <xdr:colOff>8467</xdr:colOff>
      <xdr:row>1</xdr:row>
      <xdr:rowOff>692571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>
        <a:xfrm>
          <a:off x="457201" y="1109131"/>
          <a:ext cx="6307666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Implied Volatility</a:t>
          </a:r>
          <a:r>
            <a:rPr lang="en-US" sz="3200" b="1" baseline="0">
              <a:solidFill>
                <a:schemeClr val="accent1"/>
              </a:solidFill>
            </a:rPr>
            <a:t> Calculator</a:t>
          </a:r>
          <a:endParaRPr lang="en-US" sz="3200" b="1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showRowColHeaders="0" tabSelected="1" zoomScale="90" zoomScaleNormal="90" workbookViewId="0">
      <selection activeCell="H3" sqref="H3"/>
    </sheetView>
  </sheetViews>
  <sheetFormatPr defaultColWidth="9.109375" defaultRowHeight="23.4" x14ac:dyDescent="0.45"/>
  <cols>
    <col min="1" max="1" width="6.6640625" style="1" customWidth="1"/>
    <col min="2" max="2" width="1.44140625" style="1" customWidth="1"/>
    <col min="3" max="3" width="42.5546875" style="2" customWidth="1"/>
    <col min="4" max="4" width="16" style="2" bestFit="1" customWidth="1"/>
    <col min="5" max="6" width="15.33203125" style="2" customWidth="1"/>
    <col min="7" max="7" width="1.109375" style="1" customWidth="1"/>
    <col min="8" max="16384" width="9.109375" style="1"/>
  </cols>
  <sheetData>
    <row r="1" spans="1:16" ht="70.2" customHeight="1" x14ac:dyDescent="0.45">
      <c r="A1" s="19"/>
      <c r="B1" s="27"/>
      <c r="C1" s="27"/>
      <c r="D1" s="27"/>
      <c r="E1" s="27"/>
      <c r="F1" s="27"/>
      <c r="G1" s="27"/>
      <c r="H1" s="19"/>
      <c r="I1" s="19"/>
      <c r="J1" s="19"/>
      <c r="K1" s="19"/>
      <c r="L1" s="19"/>
      <c r="M1" s="19"/>
      <c r="N1" s="19"/>
      <c r="O1" s="19"/>
      <c r="P1" s="19"/>
    </row>
    <row r="2" spans="1:16" ht="60" customHeight="1" x14ac:dyDescent="0.45">
      <c r="A2" s="19"/>
      <c r="B2" s="27"/>
      <c r="C2" s="27"/>
      <c r="D2" s="27"/>
      <c r="E2" s="27"/>
      <c r="F2" s="27"/>
      <c r="G2" s="27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45">
      <c r="A3" s="19"/>
      <c r="B3" s="3"/>
      <c r="C3" s="14" t="s">
        <v>0</v>
      </c>
      <c r="D3" s="14"/>
      <c r="E3" s="25" t="s">
        <v>1</v>
      </c>
      <c r="F3" s="25" t="s">
        <v>2</v>
      </c>
      <c r="G3" s="3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45">
      <c r="A4" s="19"/>
      <c r="B4" s="3"/>
      <c r="C4" s="23" t="s">
        <v>3</v>
      </c>
      <c r="D4" s="24">
        <v>100</v>
      </c>
      <c r="E4" s="21"/>
      <c r="F4" s="21"/>
      <c r="G4" s="3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45">
      <c r="A5" s="19"/>
      <c r="B5" s="3"/>
      <c r="C5" s="23" t="s">
        <v>4</v>
      </c>
      <c r="D5" s="22">
        <v>0.1</v>
      </c>
      <c r="E5" s="21"/>
      <c r="F5" s="21"/>
      <c r="G5" s="3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45">
      <c r="A6" s="19"/>
      <c r="B6" s="3"/>
      <c r="C6" s="14" t="s">
        <v>5</v>
      </c>
      <c r="D6" s="13">
        <f>D5</f>
        <v>0.1</v>
      </c>
      <c r="E6" s="12" t="s">
        <v>6</v>
      </c>
      <c r="F6" s="20">
        <v>252</v>
      </c>
      <c r="G6" s="3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45">
      <c r="A7" s="19"/>
      <c r="B7" s="3"/>
      <c r="C7" s="10" t="s">
        <v>7</v>
      </c>
      <c r="D7" s="9">
        <f>D4*D5</f>
        <v>10</v>
      </c>
      <c r="E7" s="8"/>
      <c r="F7" s="8"/>
      <c r="G7" s="3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45">
      <c r="A8" s="19"/>
      <c r="B8" s="3"/>
      <c r="C8" s="5" t="s">
        <v>8</v>
      </c>
      <c r="D8" s="6">
        <f>D4+D7</f>
        <v>110</v>
      </c>
      <c r="E8" s="7"/>
      <c r="F8" s="7"/>
      <c r="G8" s="3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45">
      <c r="A9" s="19"/>
      <c r="B9" s="3"/>
      <c r="C9" s="5" t="s">
        <v>9</v>
      </c>
      <c r="D9" s="6">
        <f>D4-D7</f>
        <v>90</v>
      </c>
      <c r="E9" s="7"/>
      <c r="F9" s="7"/>
      <c r="G9" s="3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45">
      <c r="A10" s="19"/>
      <c r="B10" s="3"/>
      <c r="C10" s="14" t="s">
        <v>10</v>
      </c>
      <c r="D10" s="13">
        <f>E10*D5</f>
        <v>2.9546842014263941E-2</v>
      </c>
      <c r="E10" s="12">
        <f>SQRT(F10)</f>
        <v>0.29546842014263941</v>
      </c>
      <c r="F10" s="11">
        <f>22/F6</f>
        <v>8.7301587301587297E-2</v>
      </c>
      <c r="G10" s="3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45">
      <c r="A11" s="19"/>
      <c r="B11" s="3"/>
      <c r="C11" s="10" t="s">
        <v>7</v>
      </c>
      <c r="D11" s="9">
        <f>D4*D10</f>
        <v>2.9546842014263941</v>
      </c>
      <c r="E11" s="18"/>
      <c r="F11" s="17"/>
      <c r="G11" s="3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45">
      <c r="A12" s="19"/>
      <c r="B12" s="3"/>
      <c r="C12" s="5" t="s">
        <v>11</v>
      </c>
      <c r="D12" s="6">
        <f>D4+D11</f>
        <v>102.95468420142639</v>
      </c>
      <c r="E12" s="16"/>
      <c r="F12" s="15"/>
      <c r="G12" s="3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45">
      <c r="A13" s="19"/>
      <c r="B13" s="3"/>
      <c r="C13" s="5" t="s">
        <v>12</v>
      </c>
      <c r="D13" s="6">
        <f>D4-D11</f>
        <v>97.045315798573611</v>
      </c>
      <c r="E13" s="16"/>
      <c r="F13" s="15"/>
      <c r="G13" s="3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45">
      <c r="A14" s="19"/>
      <c r="B14" s="3"/>
      <c r="C14" s="14" t="s">
        <v>13</v>
      </c>
      <c r="D14" s="13">
        <f>E14*D5</f>
        <v>1.4085904245475275E-2</v>
      </c>
      <c r="E14" s="12">
        <f>SQRT(F14)</f>
        <v>0.14085904245475275</v>
      </c>
      <c r="F14" s="11">
        <f>5/F6</f>
        <v>1.984126984126984E-2</v>
      </c>
      <c r="G14" s="3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45">
      <c r="A15" s="19"/>
      <c r="B15" s="3"/>
      <c r="C15" s="10" t="s">
        <v>7</v>
      </c>
      <c r="D15" s="9">
        <f>D4*D14</f>
        <v>1.4085904245475276</v>
      </c>
      <c r="E15" s="18"/>
      <c r="F15" s="17"/>
      <c r="G15" s="3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45">
      <c r="A16" s="19"/>
      <c r="B16" s="3"/>
      <c r="C16" s="5" t="s">
        <v>14</v>
      </c>
      <c r="D16" s="6">
        <f>D4+D15</f>
        <v>101.40859042454753</v>
      </c>
      <c r="E16" s="16"/>
      <c r="F16" s="15"/>
      <c r="G16" s="3"/>
      <c r="H16" s="19"/>
      <c r="I16" s="19"/>
      <c r="J16" s="19"/>
      <c r="K16" s="19"/>
      <c r="L16" s="19"/>
      <c r="M16" s="19"/>
      <c r="N16" s="19"/>
      <c r="O16" s="19"/>
      <c r="P16" s="19"/>
    </row>
    <row r="17" spans="1:16" x14ac:dyDescent="0.45">
      <c r="A17" s="19"/>
      <c r="B17" s="3"/>
      <c r="C17" s="5" t="s">
        <v>15</v>
      </c>
      <c r="D17" s="6">
        <f>D4-D15</f>
        <v>98.591409575452474</v>
      </c>
      <c r="E17" s="16"/>
      <c r="F17" s="15"/>
      <c r="G17" s="3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45">
      <c r="A18" s="19"/>
      <c r="B18" s="3"/>
      <c r="C18" s="14" t="s">
        <v>16</v>
      </c>
      <c r="D18" s="13">
        <f>E18*D5</f>
        <v>6.2994078834871211E-3</v>
      </c>
      <c r="E18" s="12">
        <f>SQRT(F18)</f>
        <v>6.2994078834871209E-2</v>
      </c>
      <c r="F18" s="11">
        <f>1/F6</f>
        <v>3.968253968253968E-3</v>
      </c>
      <c r="G18" s="3"/>
      <c r="H18" s="19"/>
      <c r="I18" s="19"/>
      <c r="J18" s="19"/>
      <c r="K18" s="19"/>
      <c r="L18" s="19"/>
      <c r="M18" s="19"/>
      <c r="N18" s="19"/>
      <c r="O18" s="19"/>
      <c r="P18" s="19"/>
    </row>
    <row r="19" spans="1:16" x14ac:dyDescent="0.45">
      <c r="A19" s="19"/>
      <c r="B19" s="3"/>
      <c r="C19" s="10" t="s">
        <v>7</v>
      </c>
      <c r="D19" s="9">
        <f>D4*D18</f>
        <v>0.62994078834871214</v>
      </c>
      <c r="E19" s="8"/>
      <c r="F19" s="8"/>
      <c r="G19" s="3"/>
      <c r="H19" s="19"/>
      <c r="I19" s="19"/>
      <c r="J19" s="19"/>
      <c r="K19" s="19"/>
      <c r="L19" s="19"/>
      <c r="M19" s="19"/>
      <c r="N19" s="19"/>
      <c r="O19" s="19"/>
      <c r="P19" s="19"/>
    </row>
    <row r="20" spans="1:16" x14ac:dyDescent="0.45">
      <c r="A20" s="19"/>
      <c r="B20" s="3"/>
      <c r="C20" s="5" t="s">
        <v>17</v>
      </c>
      <c r="D20" s="6">
        <f>D4+D19</f>
        <v>100.62994078834872</v>
      </c>
      <c r="E20" s="7"/>
      <c r="F20" s="7"/>
      <c r="G20" s="3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45">
      <c r="A21" s="19"/>
      <c r="B21" s="3"/>
      <c r="C21" s="5" t="s">
        <v>18</v>
      </c>
      <c r="D21" s="6">
        <f>D4-D19</f>
        <v>99.370059211651281</v>
      </c>
      <c r="E21" s="5"/>
      <c r="F21" s="5"/>
      <c r="G21" s="3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8.25" customHeight="1" x14ac:dyDescent="0.45">
      <c r="A22" s="19"/>
      <c r="B22" s="3"/>
      <c r="C22" s="4"/>
      <c r="D22" s="4"/>
      <c r="E22" s="4"/>
      <c r="F22" s="4"/>
      <c r="G22" s="3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45">
      <c r="A23" s="19"/>
      <c r="B23" s="19"/>
      <c r="C23" s="26"/>
      <c r="D23" s="26"/>
      <c r="E23" s="26"/>
      <c r="F23" s="26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sheetProtection algorithmName="SHA-512" hashValue="s8OCyMGTa3UqKx2VD7lteviQEnOa3KQafQNJW6VhMqVkXxUpToX08SX0/xbqtHwG6TQhffeZYOZeM9J83SqvPg==" saltValue="iKdzqtrIaV0WD/TLAiU7qQ==" spinCount="100000" sheet="1" objects="1" scenarios="1"/>
  <mergeCells count="2">
    <mergeCell ref="B1:G1"/>
    <mergeCell ref="B2:G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C4CB3245A0344A0BE166E4BD723E7" ma:contentTypeVersion="2" ma:contentTypeDescription="Create a new document." ma:contentTypeScope="" ma:versionID="65e65bd67c680c55c0636911112c54fa">
  <xsd:schema xmlns:xsd="http://www.w3.org/2001/XMLSchema" xmlns:xs="http://www.w3.org/2001/XMLSchema" xmlns:p="http://schemas.microsoft.com/office/2006/metadata/properties" xmlns:ns2="c41bc342-f29d-4ce4-af29-5c1bc88cfb71" targetNamespace="http://schemas.microsoft.com/office/2006/metadata/properties" ma:root="true" ma:fieldsID="e6c37e7037e50c1f58ca2c7121f46086" ns2:_="">
    <xsd:import namespace="c41bc342-f29d-4ce4-af29-5c1bc88cf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bc342-f29d-4ce4-af29-5c1bc88cf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E3A97-77B5-49B2-9003-2347DBA32096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c41bc342-f29d-4ce4-af29-5c1bc88cfb71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98D0D7-4844-4A66-9B43-BFDFA5B40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bc342-f29d-4ce4-af29-5c1bc88cf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247992-3B4A-493D-8F7E-8587F5C1FE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Implied Volatility Calculator</vt:lpstr>
    </vt:vector>
  </TitlesOfParts>
  <Manager/>
  <Company>Magna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Popik, Matthew</dc:creator>
  <cp:keywords/>
  <dc:description/>
  <cp:lastModifiedBy>Patrick ceresna</cp:lastModifiedBy>
  <cp:revision/>
  <dcterms:created xsi:type="dcterms:W3CDTF">2021-11-04T23:22:33Z</dcterms:created>
  <dcterms:modified xsi:type="dcterms:W3CDTF">2021-11-09T19:48:53Z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0x01010004EC4CB3245A0344A0BE166E4BD723E7</vt:lpwstr>
  </property>
</Properties>
</file>