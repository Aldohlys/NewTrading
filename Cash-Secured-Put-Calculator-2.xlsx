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ort Puts" sheetId="1" state="visible" r:id="rId2"/>
    <sheet name="Short Puts (2)" sheetId="2" state="visible" r:id="rId3"/>
    <sheet name="Covered Call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<sst xmlns="http://schemas.openxmlformats.org/spreadsheetml/2006/main" count="147" uniqueCount="27">
  <si>
    <t xml:space="preserve">Today's Date</t>
  </si>
  <si>
    <t xml:space="preserve">Expiry Date</t>
  </si>
  <si>
    <t xml:space="preserve">Stock Price</t>
  </si>
  <si>
    <t xml:space="preserve">Strike Price</t>
  </si>
  <si>
    <t xml:space="preserve">Option Price</t>
  </si>
  <si>
    <t xml:space="preserve">Number of contracts</t>
  </si>
  <si>
    <t xml:space="preserve">Total Premium</t>
  </si>
  <si>
    <t xml:space="preserve">Break Even</t>
  </si>
  <si>
    <t xml:space="preserve">Time Value</t>
  </si>
  <si>
    <t xml:space="preserve">Intrinsic Value</t>
  </si>
  <si>
    <t xml:space="preserve">% decrease to break even</t>
  </si>
  <si>
    <t xml:space="preserve">% Return if expired</t>
  </si>
  <si>
    <t xml:space="preserve">% Return p.a.</t>
  </si>
  <si>
    <t xml:space="preserve">Maximum Loss</t>
  </si>
  <si>
    <t xml:space="preserve">Maximum Gain</t>
  </si>
  <si>
    <t xml:space="preserve">Ending Price</t>
  </si>
  <si>
    <t xml:space="preserve">Update the cells in green only</t>
  </si>
  <si>
    <t xml:space="preserve">Option Premium</t>
  </si>
  <si>
    <t xml:space="preserve">% Return if exercised</t>
  </si>
  <si>
    <t xml:space="preserve">Breakeven</t>
  </si>
  <si>
    <t xml:space="preserve">% decline to B/E</t>
  </si>
  <si>
    <t xml:space="preserve">Number of Contracts</t>
  </si>
  <si>
    <t xml:space="preserve">Total Premium rec'd</t>
  </si>
  <si>
    <t xml:space="preserve">Capital at Risk</t>
  </si>
  <si>
    <t xml:space="preserve">Please update the cells in Green</t>
  </si>
  <si>
    <t xml:space="preserve">Stock Gain</t>
  </si>
  <si>
    <t xml:space="preserve">Total Gain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</si>
</sst>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\$* #,##0.00_);_(\$* \(#,##0.00\);_(\$* \-??_);_(@_)"/>
    <numFmt numFmtId="167" formatCode="0%"/>
    <numFmt numFmtId="168" formatCode="[$-409]d\-mmm\-yy;@"/>
    <numFmt numFmtId="169" formatCode="dd/mm/yyyy"/>
    <numFmt numFmtId="170" formatCode="_(* #,##0_);_(* \(#,##0\);_(* \-??_);_(@_)"/>
    <numFmt numFmtId="171" formatCode="0.00%"/>
    <numFmt numFmtId="172" formatCode="General"/>
    <numFmt numFmtId="173" formatCode="_(* #,##0.0000_);_(* \(#,##0.0000\);_(* \-??_);_(@_)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BEEF4"/>
      </patternFill>
    </fill>
    <fill>
      <patternFill patternType="solid">
        <fgColor rgb="FFEBF1DE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DBEEF4"/>
        <bgColor rgb="FFEBF1D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5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5" borderId="7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4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Normal 2" xfId="22"/>
    <cellStyle name="Normal 3" xfId="23"/>
    <cellStyle name="Normal 4" xfId="24"/>
    <cellStyle name="Percent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6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4" activeCellId="0" sqref="L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2" width="24.14"/>
    <col collapsed="false" customWidth="true" hidden="false" outlineLevel="0" max="3" min="3" style="1" width="14.71"/>
    <col collapsed="false" customWidth="true" hidden="false" outlineLevel="0" max="4" min="4" style="1" width="19.14"/>
    <col collapsed="false" customWidth="true" hidden="false" outlineLevel="0" max="5" min="5" style="1" width="1.57"/>
    <col collapsed="false" customWidth="true" hidden="false" outlineLevel="0" max="6" min="6" style="2" width="24.14"/>
    <col collapsed="false" customWidth="true" hidden="false" outlineLevel="0" max="7" min="7" style="1" width="14.71"/>
    <col collapsed="false" customWidth="true" hidden="false" outlineLevel="0" max="8" min="8" style="1" width="19.14"/>
    <col collapsed="false" customWidth="true" hidden="false" outlineLevel="0" max="9" min="9" style="1" width="1.57"/>
    <col collapsed="false" customWidth="true" hidden="false" outlineLevel="0" max="10" min="10" style="2" width="24.14"/>
    <col collapsed="false" customWidth="true" hidden="false" outlineLevel="0" max="11" min="11" style="1" width="14.71"/>
    <col collapsed="false" customWidth="true" hidden="false" outlineLevel="0" max="12" min="12" style="1" width="19.14"/>
    <col collapsed="false" customWidth="true" hidden="false" outlineLevel="0" max="13" min="13" style="1" width="1.57"/>
    <col collapsed="false" customWidth="false" hidden="false" outlineLevel="0" max="14" min="14" style="1" width="9.14"/>
    <col collapsed="false" customWidth="true" hidden="false" outlineLevel="0" max="15" min="15" style="1" width="11.57"/>
    <col collapsed="false" customWidth="false" hidden="false" outlineLevel="0" max="16384" min="16" style="1" width="9.14"/>
  </cols>
  <sheetData>
    <row r="1" customFormat="false" ht="6.75" hidden="false" customHeight="true" outlineLevel="0" collapsed="false"/>
    <row r="2" customFormat="false" ht="12" hidden="false" customHeight="true" outlineLevel="0" collapsed="false">
      <c r="B2" s="3"/>
      <c r="C2" s="4"/>
      <c r="D2" s="5"/>
      <c r="F2" s="3"/>
      <c r="G2" s="4"/>
      <c r="H2" s="5"/>
      <c r="J2" s="3"/>
      <c r="K2" s="4"/>
      <c r="L2" s="5"/>
    </row>
    <row r="3" customFormat="false" ht="12" hidden="false" customHeight="true" outlineLevel="0" collapsed="false">
      <c r="B3" s="6" t="s">
        <v>0</v>
      </c>
      <c r="C3" s="7" t="n">
        <f aca="true">TODAY()</f>
        <v>45681</v>
      </c>
      <c r="D3" s="8"/>
      <c r="F3" s="6" t="s">
        <v>0</v>
      </c>
      <c r="G3" s="7" t="n">
        <f aca="true">TODAY()</f>
        <v>45681</v>
      </c>
      <c r="H3" s="8"/>
      <c r="J3" s="6" t="s">
        <v>0</v>
      </c>
      <c r="K3" s="7" t="n">
        <f aca="true">TODAY()</f>
        <v>45681</v>
      </c>
      <c r="L3" s="8"/>
      <c r="O3" s="9"/>
    </row>
    <row r="4" customFormat="false" ht="12.75" hidden="false" customHeight="false" outlineLevel="0" collapsed="false">
      <c r="B4" s="6" t="s">
        <v>1</v>
      </c>
      <c r="C4" s="10" t="n">
        <v>45541</v>
      </c>
      <c r="D4" s="11" t="str">
        <f aca="false">(C4-C3+1)&amp;" Days to Expiry"</f>
        <v>-139 Days to Expiry</v>
      </c>
      <c r="F4" s="6" t="s">
        <v>1</v>
      </c>
      <c r="G4" s="10" t="n">
        <v>45583</v>
      </c>
      <c r="H4" s="11" t="str">
        <f aca="false">(G4-G3+1)&amp;" Days to Expiry"</f>
        <v>-97 Days to Expiry</v>
      </c>
      <c r="J4" s="6" t="s">
        <v>1</v>
      </c>
      <c r="K4" s="10" t="n">
        <v>45709</v>
      </c>
      <c r="L4" s="11" t="str">
        <f aca="false">(K4-K3+1)&amp;" Days to Expiry"</f>
        <v>29 Days to Expiry</v>
      </c>
      <c r="O4" s="9"/>
    </row>
    <row r="5" customFormat="false" ht="12" hidden="false" customHeight="true" outlineLevel="0" collapsed="false">
      <c r="B5" s="6"/>
      <c r="C5" s="7"/>
      <c r="D5" s="8"/>
      <c r="F5" s="6"/>
      <c r="G5" s="7"/>
      <c r="H5" s="8"/>
      <c r="J5" s="6"/>
      <c r="K5" s="7"/>
      <c r="L5" s="8"/>
    </row>
    <row r="6" customFormat="false" ht="12" hidden="false" customHeight="true" outlineLevel="0" collapsed="false">
      <c r="B6" s="6" t="s">
        <v>2</v>
      </c>
      <c r="C6" s="12" t="n">
        <v>30.78</v>
      </c>
      <c r="D6" s="8"/>
      <c r="F6" s="6" t="s">
        <v>2</v>
      </c>
      <c r="G6" s="12" t="n">
        <v>30.78</v>
      </c>
      <c r="H6" s="8"/>
      <c r="J6" s="6" t="s">
        <v>2</v>
      </c>
      <c r="K6" s="12" t="n">
        <v>30.78</v>
      </c>
      <c r="L6" s="8"/>
    </row>
    <row r="7" customFormat="false" ht="12" hidden="false" customHeight="true" outlineLevel="0" collapsed="false">
      <c r="B7" s="6"/>
      <c r="C7" s="13"/>
      <c r="D7" s="8"/>
      <c r="F7" s="6"/>
      <c r="G7" s="13"/>
      <c r="H7" s="8"/>
      <c r="J7" s="6"/>
      <c r="K7" s="13"/>
      <c r="L7" s="8"/>
    </row>
    <row r="8" customFormat="false" ht="15" hidden="false" customHeight="false" outlineLevel="0" collapsed="false">
      <c r="B8" s="6" t="s">
        <v>3</v>
      </c>
      <c r="C8" s="12" t="n">
        <v>30</v>
      </c>
      <c r="D8" s="8"/>
      <c r="F8" s="6" t="s">
        <v>3</v>
      </c>
      <c r="G8" s="12" t="n">
        <v>29</v>
      </c>
      <c r="H8" s="8"/>
      <c r="J8" s="6" t="s">
        <v>3</v>
      </c>
      <c r="K8" s="12" t="n">
        <v>29</v>
      </c>
      <c r="L8" s="8"/>
    </row>
    <row r="9" customFormat="false" ht="4.5" hidden="false" customHeight="true" outlineLevel="0" collapsed="false">
      <c r="B9" s="6"/>
      <c r="C9" s="13"/>
      <c r="D9" s="8"/>
      <c r="F9" s="6"/>
      <c r="G9" s="13"/>
      <c r="H9" s="8"/>
      <c r="J9" s="6"/>
      <c r="K9" s="13"/>
      <c r="L9" s="8"/>
    </row>
    <row r="10" customFormat="false" ht="15" hidden="false" customHeight="false" outlineLevel="0" collapsed="false">
      <c r="B10" s="6" t="s">
        <v>4</v>
      </c>
      <c r="C10" s="12" t="n">
        <v>0.7</v>
      </c>
      <c r="D10" s="8"/>
      <c r="F10" s="6" t="s">
        <v>4</v>
      </c>
      <c r="G10" s="12" t="n">
        <v>1.23</v>
      </c>
      <c r="H10" s="8"/>
      <c r="J10" s="6" t="s">
        <v>4</v>
      </c>
      <c r="K10" s="12" t="n">
        <v>3.31</v>
      </c>
      <c r="L10" s="8"/>
    </row>
    <row r="11" customFormat="false" ht="4.5" hidden="false" customHeight="true" outlineLevel="0" collapsed="false">
      <c r="B11" s="6"/>
      <c r="C11" s="13"/>
      <c r="D11" s="8"/>
      <c r="F11" s="6"/>
      <c r="G11" s="13"/>
      <c r="H11" s="8"/>
      <c r="J11" s="6"/>
      <c r="K11" s="13"/>
      <c r="L11" s="8"/>
    </row>
    <row r="12" customFormat="false" ht="15" hidden="false" customHeight="false" outlineLevel="0" collapsed="false">
      <c r="B12" s="6" t="s">
        <v>5</v>
      </c>
      <c r="C12" s="14" t="n">
        <v>1</v>
      </c>
      <c r="D12" s="8"/>
      <c r="F12" s="6" t="s">
        <v>5</v>
      </c>
      <c r="G12" s="14" t="n">
        <v>1</v>
      </c>
      <c r="H12" s="8"/>
      <c r="J12" s="6" t="s">
        <v>5</v>
      </c>
      <c r="K12" s="14" t="n">
        <v>1</v>
      </c>
      <c r="L12" s="8"/>
      <c r="O12" s="15"/>
    </row>
    <row r="13" customFormat="false" ht="4.5" hidden="false" customHeight="true" outlineLevel="0" collapsed="false">
      <c r="B13" s="6"/>
      <c r="C13" s="13"/>
      <c r="D13" s="8"/>
      <c r="F13" s="6"/>
      <c r="G13" s="13"/>
      <c r="H13" s="8"/>
      <c r="J13" s="6"/>
      <c r="K13" s="13"/>
      <c r="L13" s="8"/>
    </row>
    <row r="14" customFormat="false" ht="15" hidden="false" customHeight="false" outlineLevel="0" collapsed="false">
      <c r="B14" s="6" t="s">
        <v>6</v>
      </c>
      <c r="C14" s="13" t="n">
        <f aca="false">C10*100*C12</f>
        <v>70</v>
      </c>
      <c r="D14" s="8"/>
      <c r="F14" s="6" t="s">
        <v>6</v>
      </c>
      <c r="G14" s="13" t="n">
        <f aca="false">G10*100*G12</f>
        <v>123</v>
      </c>
      <c r="H14" s="8"/>
      <c r="J14" s="6" t="s">
        <v>6</v>
      </c>
      <c r="K14" s="13" t="n">
        <f aca="false">K10*100*K12</f>
        <v>331</v>
      </c>
      <c r="L14" s="8"/>
      <c r="O14" s="15"/>
    </row>
    <row r="15" customFormat="false" ht="4.5" hidden="false" customHeight="true" outlineLevel="0" collapsed="false">
      <c r="B15" s="6"/>
      <c r="C15" s="13"/>
      <c r="D15" s="8"/>
      <c r="F15" s="6"/>
      <c r="G15" s="13"/>
      <c r="H15" s="8"/>
      <c r="J15" s="6"/>
      <c r="K15" s="13"/>
      <c r="L15" s="8"/>
    </row>
    <row r="16" customFormat="false" ht="15" hidden="false" customHeight="false" outlineLevel="0" collapsed="false">
      <c r="B16" s="6" t="s">
        <v>7</v>
      </c>
      <c r="C16" s="13" t="n">
        <f aca="false">C8-C10</f>
        <v>29.3</v>
      </c>
      <c r="D16" s="8"/>
      <c r="F16" s="6" t="s">
        <v>7</v>
      </c>
      <c r="G16" s="13" t="n">
        <f aca="false">G8-G10</f>
        <v>27.77</v>
      </c>
      <c r="H16" s="8"/>
      <c r="J16" s="6" t="s">
        <v>7</v>
      </c>
      <c r="K16" s="13" t="n">
        <f aca="false">K8-K10</f>
        <v>25.69</v>
      </c>
      <c r="L16" s="8"/>
    </row>
    <row r="17" customFormat="false" ht="4.5" hidden="false" customHeight="true" outlineLevel="0" collapsed="false">
      <c r="B17" s="6"/>
      <c r="C17" s="13"/>
      <c r="D17" s="8"/>
      <c r="F17" s="6"/>
      <c r="G17" s="13"/>
      <c r="H17" s="8"/>
      <c r="J17" s="6"/>
      <c r="K17" s="13"/>
      <c r="L17" s="8"/>
    </row>
    <row r="18" customFormat="false" ht="15" hidden="false" customHeight="false" outlineLevel="0" collapsed="false">
      <c r="B18" s="6" t="s">
        <v>8</v>
      </c>
      <c r="C18" s="13" t="n">
        <f aca="false">IF(C8&lt;C6,C10,C6-(C8-C10))</f>
        <v>0.7</v>
      </c>
      <c r="D18" s="8"/>
      <c r="F18" s="6" t="s">
        <v>8</v>
      </c>
      <c r="G18" s="13" t="n">
        <f aca="false">IF(G8&lt;G6,G10,G6-(G8-G10))</f>
        <v>1.23</v>
      </c>
      <c r="H18" s="8"/>
      <c r="J18" s="6" t="s">
        <v>8</v>
      </c>
      <c r="K18" s="13" t="n">
        <f aca="false">IF(K8&lt;K6,K10,K6-(K8-K10))</f>
        <v>3.31</v>
      </c>
      <c r="L18" s="8"/>
    </row>
    <row r="19" customFormat="false" ht="4.5" hidden="false" customHeight="true" outlineLevel="0" collapsed="false">
      <c r="B19" s="6"/>
      <c r="C19" s="13"/>
      <c r="D19" s="8"/>
      <c r="F19" s="6"/>
      <c r="G19" s="13"/>
      <c r="H19" s="8"/>
      <c r="J19" s="6"/>
      <c r="K19" s="13"/>
      <c r="L19" s="8"/>
    </row>
    <row r="20" customFormat="false" ht="15" hidden="false" customHeight="false" outlineLevel="0" collapsed="false">
      <c r="B20" s="6" t="s">
        <v>9</v>
      </c>
      <c r="C20" s="13" t="n">
        <f aca="false">C10-C18</f>
        <v>0</v>
      </c>
      <c r="D20" s="8"/>
      <c r="F20" s="6" t="s">
        <v>9</v>
      </c>
      <c r="G20" s="13" t="n">
        <f aca="false">G10-G18</f>
        <v>0</v>
      </c>
      <c r="H20" s="8"/>
      <c r="J20" s="6" t="s">
        <v>9</v>
      </c>
      <c r="K20" s="13" t="n">
        <f aca="false">K10-K18</f>
        <v>0</v>
      </c>
      <c r="L20" s="8"/>
    </row>
    <row r="21" customFormat="false" ht="4.5" hidden="false" customHeight="true" outlineLevel="0" collapsed="false">
      <c r="B21" s="6"/>
      <c r="C21" s="13"/>
      <c r="D21" s="8"/>
      <c r="F21" s="6"/>
      <c r="G21" s="13"/>
      <c r="H21" s="8"/>
      <c r="J21" s="6"/>
      <c r="K21" s="13"/>
      <c r="L21" s="8"/>
    </row>
    <row r="22" customFormat="false" ht="15" hidden="false" customHeight="false" outlineLevel="0" collapsed="false">
      <c r="B22" s="6" t="s">
        <v>10</v>
      </c>
      <c r="C22" s="16" t="n">
        <f aca="false">C16/C6-1</f>
        <v>-0.0480831708901884</v>
      </c>
      <c r="D22" s="8"/>
      <c r="F22" s="6" t="s">
        <v>10</v>
      </c>
      <c r="G22" s="16" t="n">
        <f aca="false">G16/G6-1</f>
        <v>-0.0977907732293698</v>
      </c>
      <c r="H22" s="8"/>
      <c r="J22" s="6" t="s">
        <v>10</v>
      </c>
      <c r="K22" s="16" t="n">
        <f aca="false">K16/K6-1</f>
        <v>-0.165367121507472</v>
      </c>
      <c r="L22" s="8"/>
    </row>
    <row r="23" customFormat="false" ht="4.5" hidden="false" customHeight="true" outlineLevel="0" collapsed="false">
      <c r="B23" s="6"/>
      <c r="C23" s="13"/>
      <c r="D23" s="8"/>
      <c r="F23" s="6"/>
      <c r="G23" s="13"/>
      <c r="H23" s="8"/>
      <c r="J23" s="6"/>
      <c r="K23" s="13"/>
      <c r="L23" s="8"/>
    </row>
    <row r="24" customFormat="false" ht="12.75" hidden="false" customHeight="false" outlineLevel="0" collapsed="false">
      <c r="B24" s="6" t="s">
        <v>11</v>
      </c>
      <c r="C24" s="17" t="n">
        <f aca="false">C14/((C8-C10)*C12*100)</f>
        <v>0.0238907849829352</v>
      </c>
      <c r="D24" s="8"/>
      <c r="F24" s="6" t="s">
        <v>11</v>
      </c>
      <c r="G24" s="17" t="n">
        <f aca="false">G14/((G8-G10)*G12*100)</f>
        <v>0.0442924018725243</v>
      </c>
      <c r="H24" s="8"/>
      <c r="J24" s="6" t="s">
        <v>11</v>
      </c>
      <c r="K24" s="17" t="n">
        <f aca="false">K14/((K8-K10)*K12*100)</f>
        <v>0.128843908135461</v>
      </c>
      <c r="L24" s="8"/>
    </row>
    <row r="25" customFormat="false" ht="4.5" hidden="false" customHeight="true" outlineLevel="0" collapsed="false">
      <c r="B25" s="6"/>
      <c r="C25" s="13"/>
      <c r="D25" s="8"/>
      <c r="F25" s="6"/>
      <c r="G25" s="13"/>
      <c r="H25" s="8"/>
      <c r="J25" s="6"/>
      <c r="K25" s="13"/>
      <c r="L25" s="8"/>
    </row>
    <row r="26" customFormat="false" ht="15" hidden="false" customHeight="false" outlineLevel="0" collapsed="false">
      <c r="B26" s="6" t="s">
        <v>12</v>
      </c>
      <c r="C26" s="16" t="n">
        <f aca="false">(365/(C4-C3+1))*C24</f>
        <v>-0.0627347950990745</v>
      </c>
      <c r="D26" s="8"/>
      <c r="F26" s="6" t="s">
        <v>12</v>
      </c>
      <c r="G26" s="16" t="n">
        <f aca="false">(365/(G4-G3+1))*G24</f>
        <v>-0.166667285396612</v>
      </c>
      <c r="H26" s="8"/>
      <c r="J26" s="6" t="s">
        <v>12</v>
      </c>
      <c r="K26" s="16" t="n">
        <f aca="false">(365/(K4-K3+1))*K24</f>
        <v>1.62165608515322</v>
      </c>
      <c r="L26" s="8"/>
    </row>
    <row r="27" customFormat="false" ht="4.5" hidden="false" customHeight="true" outlineLevel="0" collapsed="false">
      <c r="B27" s="6"/>
      <c r="C27" s="13"/>
      <c r="D27" s="8"/>
      <c r="F27" s="6"/>
      <c r="G27" s="13"/>
      <c r="H27" s="8"/>
      <c r="J27" s="6"/>
      <c r="K27" s="13"/>
      <c r="L27" s="8"/>
    </row>
    <row r="28" customFormat="false" ht="12.75" hidden="false" customHeight="false" outlineLevel="0" collapsed="false">
      <c r="B28" s="6" t="s">
        <v>13</v>
      </c>
      <c r="C28" s="18" t="n">
        <f aca="false">-(C8*C12*100-C14)</f>
        <v>-2930</v>
      </c>
      <c r="D28" s="8"/>
      <c r="F28" s="6" t="s">
        <v>13</v>
      </c>
      <c r="G28" s="18" t="n">
        <f aca="false">-(G8*G12*100-G14)</f>
        <v>-2777</v>
      </c>
      <c r="H28" s="8"/>
      <c r="J28" s="6" t="s">
        <v>13</v>
      </c>
      <c r="K28" s="18" t="n">
        <f aca="false">-(K8*K12*100-K14)</f>
        <v>-2569</v>
      </c>
      <c r="L28" s="8"/>
    </row>
    <row r="29" customFormat="false" ht="3" hidden="false" customHeight="true" outlineLevel="0" collapsed="false">
      <c r="B29" s="6"/>
      <c r="C29" s="13"/>
      <c r="D29" s="8"/>
      <c r="F29" s="6"/>
      <c r="G29" s="13"/>
      <c r="H29" s="8"/>
      <c r="J29" s="6"/>
      <c r="K29" s="13"/>
      <c r="L29" s="8"/>
    </row>
    <row r="30" customFormat="false" ht="12.75" hidden="false" customHeight="false" outlineLevel="0" collapsed="false">
      <c r="B30" s="6" t="s">
        <v>14</v>
      </c>
      <c r="C30" s="19" t="n">
        <f aca="false">C14</f>
        <v>70</v>
      </c>
      <c r="D30" s="8"/>
      <c r="F30" s="6" t="s">
        <v>14</v>
      </c>
      <c r="G30" s="19" t="n">
        <f aca="false">G14</f>
        <v>123</v>
      </c>
      <c r="H30" s="8"/>
      <c r="J30" s="6" t="s">
        <v>14</v>
      </c>
      <c r="K30" s="19" t="n">
        <f aca="false">K14</f>
        <v>331</v>
      </c>
      <c r="L30" s="8"/>
    </row>
    <row r="31" customFormat="false" ht="13.5" hidden="false" customHeight="false" outlineLevel="0" collapsed="false">
      <c r="B31" s="20"/>
      <c r="C31" s="21"/>
      <c r="D31" s="22"/>
      <c r="F31" s="20"/>
      <c r="G31" s="21"/>
      <c r="H31" s="22"/>
      <c r="J31" s="20"/>
      <c r="K31" s="21"/>
      <c r="L31" s="22"/>
    </row>
    <row r="32" customFormat="false" ht="4.5" hidden="false" customHeight="true" outlineLevel="0" collapsed="false"/>
    <row r="34" customFormat="false" ht="12.75" hidden="true" customHeight="false" outlineLevel="0" collapsed="false">
      <c r="B34" s="23" t="s">
        <v>15</v>
      </c>
      <c r="C34" s="24"/>
      <c r="D34" s="25"/>
      <c r="F34" s="23" t="s">
        <v>15</v>
      </c>
      <c r="G34" s="24" t="n">
        <v>18</v>
      </c>
      <c r="H34" s="25"/>
      <c r="J34" s="23" t="s">
        <v>15</v>
      </c>
      <c r="K34" s="24"/>
      <c r="L34" s="25"/>
    </row>
    <row r="35" customFormat="false" ht="12.75" hidden="true" customHeight="false" outlineLevel="0" collapsed="false">
      <c r="B35" s="26"/>
      <c r="C35" s="27"/>
      <c r="D35" s="28"/>
      <c r="F35" s="26"/>
      <c r="G35" s="27"/>
      <c r="H35" s="28"/>
      <c r="J35" s="26"/>
      <c r="K35" s="27"/>
      <c r="L35" s="28"/>
    </row>
    <row r="36" customFormat="false" ht="12.75" hidden="true" customHeight="false" outlineLevel="0" collapsed="false">
      <c r="B36" s="26" t="str">
        <f aca="false">IF(C36&gt;0,"Gain per contract", "Loss per contract")</f>
        <v>Loss per contract</v>
      </c>
      <c r="C36" s="29"/>
      <c r="D36" s="28"/>
      <c r="F36" s="26" t="str">
        <f aca="false">IF(G36&gt;0,"Gain per contract", "Loss per contract")</f>
        <v>Loss per contract</v>
      </c>
      <c r="G36" s="29" t="n">
        <f aca="false">IF(G34&gt;G8,G10,-(G8-G34-G10))</f>
        <v>-9.77</v>
      </c>
      <c r="H36" s="28"/>
      <c r="J36" s="26" t="str">
        <f aca="false">IF(K36&gt;0,"Gain per contract", "Loss per contract")</f>
        <v>Loss per contract</v>
      </c>
      <c r="K36" s="29"/>
      <c r="L36" s="28"/>
    </row>
    <row r="37" customFormat="false" ht="12.75" hidden="true" customHeight="false" outlineLevel="0" collapsed="false">
      <c r="B37" s="26" t="str">
        <f aca="false">IF(C37&gt;0,"Total Gain","Total Loss")</f>
        <v>Total Loss</v>
      </c>
      <c r="C37" s="29"/>
      <c r="D37" s="28"/>
      <c r="F37" s="26" t="str">
        <f aca="false">IF(G37&gt;0,"Total Gain","Total Loss")</f>
        <v>Total Loss</v>
      </c>
      <c r="G37" s="29" t="n">
        <f aca="false">G36*100*G12</f>
        <v>-977</v>
      </c>
      <c r="H37" s="28"/>
      <c r="J37" s="26" t="str">
        <f aca="false">IF(K37&gt;0,"Total Gain","Total Loss")</f>
        <v>Total Loss</v>
      </c>
      <c r="K37" s="29"/>
      <c r="L37" s="28"/>
    </row>
    <row r="38" customFormat="false" ht="12.75" hidden="true" customHeight="false" outlineLevel="0" collapsed="false">
      <c r="B38" s="26"/>
      <c r="C38" s="27"/>
      <c r="D38" s="28"/>
      <c r="F38" s="26"/>
      <c r="G38" s="27"/>
      <c r="H38" s="28"/>
      <c r="J38" s="26"/>
      <c r="K38" s="27"/>
      <c r="L38" s="28"/>
    </row>
    <row r="39" customFormat="false" ht="15.75" hidden="true" customHeight="false" outlineLevel="0" collapsed="false">
      <c r="B39" s="30" t="str">
        <f aca="false">IF(C39&gt;0,"Percentage Gain","Percentage Loss")</f>
        <v>Percentage Loss</v>
      </c>
      <c r="C39" s="31"/>
      <c r="D39" s="32"/>
      <c r="F39" s="30" t="str">
        <f aca="false">IF(G39&gt;0,"Percentage Gain","Percentage Loss")</f>
        <v>Percentage Loss</v>
      </c>
      <c r="G39" s="31" t="n">
        <f aca="false">G37/G14</f>
        <v>-7.94308943089431</v>
      </c>
      <c r="H39" s="32"/>
      <c r="J39" s="30" t="str">
        <f aca="false">IF(K39&gt;0,"Percentage Gain","Percentage Loss")</f>
        <v>Percentage Loss</v>
      </c>
      <c r="K39" s="31"/>
      <c r="L39" s="32"/>
    </row>
    <row r="40" customFormat="false" ht="12.75" hidden="true" customHeight="false" outlineLevel="0" collapsed="false"/>
    <row r="41" s="33" customFormat="true" ht="12.75" hidden="false" customHeight="false" outlineLevel="0" collapsed="false">
      <c r="B41" s="34"/>
      <c r="C41" s="34" t="n">
        <v>3.02</v>
      </c>
      <c r="F41" s="34"/>
      <c r="G41" s="34" t="n">
        <f aca="false">G6*0.0322</f>
        <v>0.991116</v>
      </c>
      <c r="J41" s="34"/>
      <c r="K41" s="34"/>
    </row>
    <row r="42" customFormat="false" ht="12.75" hidden="false" customHeight="false" outlineLevel="0" collapsed="false">
      <c r="B42" s="35"/>
      <c r="C42" s="36" t="n">
        <f aca="false">C41/C16</f>
        <v>0.103071672354949</v>
      </c>
      <c r="F42" s="35"/>
      <c r="G42" s="36" t="n">
        <f aca="false">G41/G16</f>
        <v>0.0356901692473893</v>
      </c>
      <c r="J42" s="35"/>
      <c r="K42" s="36"/>
    </row>
    <row r="43" customFormat="false" ht="12.75" hidden="false" customHeight="false" outlineLevel="0" collapsed="false">
      <c r="B43" s="37"/>
      <c r="C43" s="38"/>
      <c r="F43" s="37"/>
      <c r="G43" s="38"/>
      <c r="J43" s="37"/>
      <c r="K43" s="38"/>
    </row>
    <row r="44" customFormat="false" ht="12.75" hidden="false" customHeight="false" outlineLevel="0" collapsed="false">
      <c r="B44" s="37"/>
      <c r="C44" s="39"/>
      <c r="F44" s="37"/>
      <c r="G44" s="38"/>
      <c r="J44" s="37"/>
      <c r="K44" s="39"/>
    </row>
    <row r="45" customFormat="false" ht="12.75" hidden="false" customHeight="false" outlineLevel="0" collapsed="false">
      <c r="B45" s="40" t="s">
        <v>16</v>
      </c>
      <c r="C45" s="41"/>
      <c r="F45" s="37"/>
      <c r="G45" s="42"/>
      <c r="J45" s="37"/>
      <c r="K45" s="38"/>
    </row>
    <row r="46" customFormat="false" ht="12.75" hidden="false" customHeight="false" outlineLevel="0" collapsed="false">
      <c r="G46" s="42"/>
      <c r="K46" s="42"/>
    </row>
    <row r="47" customFormat="false" ht="12.75" hidden="false" customHeight="false" outlineLevel="0" collapsed="false">
      <c r="B47" s="37"/>
      <c r="C47" s="43"/>
      <c r="F47" s="37"/>
      <c r="G47" s="43"/>
      <c r="J47" s="37"/>
      <c r="K47" s="43"/>
    </row>
    <row r="48" customFormat="false" ht="12.75" hidden="false" customHeight="false" outlineLevel="0" collapsed="false">
      <c r="B48" s="37"/>
      <c r="C48" s="43"/>
      <c r="F48" s="44"/>
      <c r="G48" s="43"/>
      <c r="J48" s="37"/>
      <c r="K48" s="43"/>
    </row>
    <row r="49" customFormat="false" ht="12.75" hidden="false" customHeight="false" outlineLevel="0" collapsed="false">
      <c r="C49" s="43"/>
      <c r="F49" s="44"/>
      <c r="G49" s="15"/>
      <c r="K49" s="15"/>
    </row>
    <row r="50" customFormat="false" ht="12.75" hidden="false" customHeight="false" outlineLevel="0" collapsed="false">
      <c r="C50" s="45"/>
      <c r="F50" s="44"/>
      <c r="G50" s="43"/>
      <c r="K50" s="43"/>
    </row>
    <row r="51" customFormat="false" ht="12.75" hidden="false" customHeight="false" outlineLevel="0" collapsed="false">
      <c r="C51" s="43"/>
      <c r="G51" s="43"/>
      <c r="J51" s="39"/>
      <c r="K51" s="43"/>
    </row>
    <row r="52" customFormat="false" ht="12.75" hidden="false" customHeight="false" outlineLevel="0" collapsed="false">
      <c r="C52" s="43"/>
      <c r="G52" s="15"/>
      <c r="K52" s="15"/>
    </row>
    <row r="53" customFormat="false" ht="12.75" hidden="false" customHeight="false" outlineLevel="0" collapsed="false">
      <c r="C53" s="43"/>
      <c r="G53" s="43"/>
      <c r="K53" s="43"/>
    </row>
    <row r="54" customFormat="false" ht="12.75" hidden="false" customHeight="false" outlineLevel="0" collapsed="false">
      <c r="C54" s="43"/>
      <c r="G54" s="43"/>
      <c r="K54" s="43"/>
    </row>
    <row r="55" customFormat="false" ht="12.75" hidden="false" customHeight="false" outlineLevel="0" collapsed="false">
      <c r="C55" s="15"/>
      <c r="G55" s="46"/>
      <c r="K55" s="46"/>
    </row>
    <row r="56" customFormat="false" ht="12.75" hidden="false" customHeight="false" outlineLevel="0" collapsed="false">
      <c r="C56" s="43"/>
    </row>
    <row r="57" customFormat="false" ht="12.75" hidden="false" customHeight="false" outlineLevel="0" collapsed="false">
      <c r="C57" s="43"/>
    </row>
    <row r="58" customFormat="false" ht="12.75" hidden="false" customHeight="false" outlineLevel="0" collapsed="false">
      <c r="C58" s="43"/>
    </row>
    <row r="60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6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42" activeCellId="0" sqref="G4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.14"/>
    <col collapsed="false" customWidth="true" hidden="false" outlineLevel="0" max="2" min="2" style="2" width="24.14"/>
    <col collapsed="false" customWidth="true" hidden="false" outlineLevel="0" max="3" min="3" style="1" width="14.71"/>
    <col collapsed="false" customWidth="true" hidden="false" outlineLevel="0" max="4" min="4" style="1" width="19.14"/>
    <col collapsed="false" customWidth="true" hidden="false" outlineLevel="0" max="5" min="5" style="1" width="1.57"/>
    <col collapsed="false" customWidth="true" hidden="false" outlineLevel="0" max="6" min="6" style="2" width="24.14"/>
    <col collapsed="false" customWidth="true" hidden="false" outlineLevel="0" max="7" min="7" style="1" width="14.71"/>
    <col collapsed="false" customWidth="true" hidden="false" outlineLevel="0" max="8" min="8" style="1" width="19.14"/>
    <col collapsed="false" customWidth="true" hidden="false" outlineLevel="0" max="9" min="9" style="1" width="1.57"/>
    <col collapsed="false" customWidth="true" hidden="false" outlineLevel="0" max="10" min="10" style="2" width="24.14"/>
    <col collapsed="false" customWidth="true" hidden="false" outlineLevel="0" max="11" min="11" style="1" width="14.71"/>
    <col collapsed="false" customWidth="true" hidden="false" outlineLevel="0" max="12" min="12" style="1" width="19.14"/>
    <col collapsed="false" customWidth="true" hidden="false" outlineLevel="0" max="13" min="13" style="1" width="1.57"/>
    <col collapsed="false" customWidth="false" hidden="false" outlineLevel="0" max="14" min="14" style="1" width="9.14"/>
    <col collapsed="false" customWidth="true" hidden="false" outlineLevel="0" max="15" min="15" style="1" width="11.57"/>
    <col collapsed="false" customWidth="false" hidden="false" outlineLevel="0" max="16384" min="16" style="1" width="9.14"/>
  </cols>
  <sheetData>
    <row r="1" customFormat="false" ht="6.75" hidden="false" customHeight="true" outlineLevel="0" collapsed="false"/>
    <row r="2" customFormat="false" ht="12" hidden="false" customHeight="true" outlineLevel="0" collapsed="false">
      <c r="B2" s="3"/>
      <c r="C2" s="4"/>
      <c r="D2" s="5"/>
      <c r="F2" s="3"/>
      <c r="G2" s="4"/>
      <c r="H2" s="5"/>
      <c r="J2" s="3"/>
      <c r="K2" s="4"/>
      <c r="L2" s="5"/>
    </row>
    <row r="3" customFormat="false" ht="12" hidden="false" customHeight="true" outlineLevel="0" collapsed="false">
      <c r="B3" s="6" t="s">
        <v>0</v>
      </c>
      <c r="C3" s="7" t="n">
        <f aca="true">TODAY()</f>
        <v>45681</v>
      </c>
      <c r="D3" s="8"/>
      <c r="F3" s="6" t="s">
        <v>0</v>
      </c>
      <c r="G3" s="7" t="n">
        <f aca="true">TODAY()</f>
        <v>45681</v>
      </c>
      <c r="H3" s="8"/>
      <c r="J3" s="6" t="s">
        <v>0</v>
      </c>
      <c r="K3" s="7" t="n">
        <f aca="true">TODAY()</f>
        <v>45681</v>
      </c>
      <c r="L3" s="8"/>
      <c r="O3" s="9"/>
    </row>
    <row r="4" customFormat="false" ht="12.75" hidden="false" customHeight="false" outlineLevel="0" collapsed="false">
      <c r="B4" s="6" t="s">
        <v>1</v>
      </c>
      <c r="C4" s="10" t="n">
        <v>45534</v>
      </c>
      <c r="D4" s="11" t="str">
        <f aca="false">(C4-C3+1)&amp;" Days to Expiry"</f>
        <v>-146 Days to Expiry</v>
      </c>
      <c r="F4" s="6" t="s">
        <v>1</v>
      </c>
      <c r="G4" s="10" t="n">
        <v>45555</v>
      </c>
      <c r="H4" s="11" t="str">
        <f aca="false">(G4-G3+1)&amp;" Days to Expiry"</f>
        <v>-125 Days to Expiry</v>
      </c>
      <c r="J4" s="6" t="s">
        <v>1</v>
      </c>
      <c r="K4" s="10" t="n">
        <v>45674</v>
      </c>
      <c r="L4" s="11" t="str">
        <f aca="false">(K4-K3+1)&amp;" Days to Expiry"</f>
        <v>-6 Days to Expiry</v>
      </c>
      <c r="O4" s="9"/>
    </row>
    <row r="5" customFormat="false" ht="12" hidden="false" customHeight="true" outlineLevel="0" collapsed="false">
      <c r="B5" s="6"/>
      <c r="C5" s="7"/>
      <c r="D5" s="8"/>
      <c r="F5" s="6"/>
      <c r="G5" s="7"/>
      <c r="H5" s="8"/>
      <c r="J5" s="6"/>
      <c r="K5" s="7"/>
      <c r="L5" s="8"/>
    </row>
    <row r="6" customFormat="false" ht="12" hidden="false" customHeight="true" outlineLevel="0" collapsed="false">
      <c r="B6" s="6" t="s">
        <v>2</v>
      </c>
      <c r="C6" s="12" t="n">
        <v>126.78</v>
      </c>
      <c r="D6" s="8"/>
      <c r="F6" s="6" t="s">
        <v>2</v>
      </c>
      <c r="G6" s="12" t="n">
        <v>126.78</v>
      </c>
      <c r="H6" s="8"/>
      <c r="J6" s="6" t="s">
        <v>2</v>
      </c>
      <c r="K6" s="12" t="n">
        <v>28.91</v>
      </c>
      <c r="L6" s="8"/>
    </row>
    <row r="7" customFormat="false" ht="12" hidden="false" customHeight="true" outlineLevel="0" collapsed="false">
      <c r="B7" s="6"/>
      <c r="C7" s="13"/>
      <c r="D7" s="8"/>
      <c r="F7" s="6"/>
      <c r="G7" s="13"/>
      <c r="H7" s="8"/>
      <c r="J7" s="6"/>
      <c r="K7" s="13"/>
      <c r="L7" s="8"/>
    </row>
    <row r="8" customFormat="false" ht="15" hidden="false" customHeight="false" outlineLevel="0" collapsed="false">
      <c r="B8" s="6" t="s">
        <v>3</v>
      </c>
      <c r="C8" s="12" t="n">
        <v>121</v>
      </c>
      <c r="D8" s="8"/>
      <c r="F8" s="6" t="s">
        <v>3</v>
      </c>
      <c r="G8" s="12" t="n">
        <v>120</v>
      </c>
      <c r="H8" s="8"/>
      <c r="J8" s="6" t="s">
        <v>3</v>
      </c>
      <c r="K8" s="12" t="n">
        <v>27.5</v>
      </c>
      <c r="L8" s="8"/>
    </row>
    <row r="9" customFormat="false" ht="4.5" hidden="false" customHeight="true" outlineLevel="0" collapsed="false">
      <c r="B9" s="6"/>
      <c r="C9" s="13"/>
      <c r="D9" s="8"/>
      <c r="F9" s="6"/>
      <c r="G9" s="13"/>
      <c r="H9" s="8"/>
      <c r="J9" s="6"/>
      <c r="K9" s="13"/>
      <c r="L9" s="8"/>
    </row>
    <row r="10" customFormat="false" ht="15" hidden="false" customHeight="false" outlineLevel="0" collapsed="false">
      <c r="B10" s="6" t="s">
        <v>4</v>
      </c>
      <c r="C10" s="12" t="n">
        <v>4.45</v>
      </c>
      <c r="D10" s="8"/>
      <c r="F10" s="6" t="s">
        <v>4</v>
      </c>
      <c r="G10" s="12" t="n">
        <v>6.65</v>
      </c>
      <c r="H10" s="8"/>
      <c r="J10" s="6" t="s">
        <v>4</v>
      </c>
      <c r="K10" s="12" t="n">
        <v>1.05</v>
      </c>
      <c r="L10" s="8"/>
    </row>
    <row r="11" customFormat="false" ht="4.5" hidden="false" customHeight="true" outlineLevel="0" collapsed="false">
      <c r="B11" s="6"/>
      <c r="C11" s="13"/>
      <c r="D11" s="8"/>
      <c r="F11" s="6"/>
      <c r="G11" s="13"/>
      <c r="H11" s="8"/>
      <c r="J11" s="6"/>
      <c r="K11" s="13"/>
      <c r="L11" s="8"/>
    </row>
    <row r="12" customFormat="false" ht="15" hidden="false" customHeight="false" outlineLevel="0" collapsed="false">
      <c r="B12" s="6" t="s">
        <v>5</v>
      </c>
      <c r="C12" s="14" t="n">
        <v>1</v>
      </c>
      <c r="D12" s="8"/>
      <c r="F12" s="6" t="s">
        <v>5</v>
      </c>
      <c r="G12" s="14" t="n">
        <v>1</v>
      </c>
      <c r="H12" s="8"/>
      <c r="J12" s="6" t="s">
        <v>5</v>
      </c>
      <c r="K12" s="14" t="n">
        <v>1</v>
      </c>
      <c r="L12" s="8"/>
      <c r="O12" s="15"/>
    </row>
    <row r="13" customFormat="false" ht="4.5" hidden="false" customHeight="true" outlineLevel="0" collapsed="false">
      <c r="B13" s="6"/>
      <c r="C13" s="13"/>
      <c r="D13" s="8"/>
      <c r="F13" s="6"/>
      <c r="G13" s="13"/>
      <c r="H13" s="8"/>
      <c r="J13" s="6"/>
      <c r="K13" s="13"/>
      <c r="L13" s="8"/>
    </row>
    <row r="14" customFormat="false" ht="15" hidden="false" customHeight="false" outlineLevel="0" collapsed="false">
      <c r="B14" s="6" t="s">
        <v>6</v>
      </c>
      <c r="C14" s="13" t="n">
        <f aca="false">C10*100*C12</f>
        <v>445</v>
      </c>
      <c r="D14" s="8"/>
      <c r="F14" s="6" t="s">
        <v>6</v>
      </c>
      <c r="G14" s="13" t="n">
        <f aca="false">G10*100*G12</f>
        <v>665</v>
      </c>
      <c r="H14" s="8"/>
      <c r="J14" s="6" t="s">
        <v>6</v>
      </c>
      <c r="K14" s="13" t="n">
        <f aca="false">K10*100*K12</f>
        <v>105</v>
      </c>
      <c r="L14" s="8"/>
      <c r="O14" s="15"/>
    </row>
    <row r="15" customFormat="false" ht="4.5" hidden="false" customHeight="true" outlineLevel="0" collapsed="false">
      <c r="B15" s="6"/>
      <c r="C15" s="13"/>
      <c r="D15" s="8"/>
      <c r="F15" s="6"/>
      <c r="G15" s="13"/>
      <c r="H15" s="8"/>
      <c r="J15" s="6"/>
      <c r="K15" s="13"/>
      <c r="L15" s="8"/>
    </row>
    <row r="16" customFormat="false" ht="15" hidden="false" customHeight="false" outlineLevel="0" collapsed="false">
      <c r="B16" s="6" t="s">
        <v>7</v>
      </c>
      <c r="C16" s="13" t="n">
        <f aca="false">C8-C10</f>
        <v>116.55</v>
      </c>
      <c r="D16" s="8"/>
      <c r="F16" s="6" t="s">
        <v>7</v>
      </c>
      <c r="G16" s="13" t="n">
        <f aca="false">G8-G10</f>
        <v>113.35</v>
      </c>
      <c r="H16" s="8"/>
      <c r="J16" s="6" t="s">
        <v>7</v>
      </c>
      <c r="K16" s="13" t="n">
        <f aca="false">K8-K10</f>
        <v>26.45</v>
      </c>
      <c r="L16" s="8"/>
    </row>
    <row r="17" customFormat="false" ht="4.5" hidden="false" customHeight="true" outlineLevel="0" collapsed="false">
      <c r="B17" s="6"/>
      <c r="C17" s="13"/>
      <c r="D17" s="8"/>
      <c r="F17" s="6"/>
      <c r="G17" s="13"/>
      <c r="H17" s="8"/>
      <c r="J17" s="6"/>
      <c r="K17" s="13"/>
      <c r="L17" s="8"/>
    </row>
    <row r="18" customFormat="false" ht="15" hidden="false" customHeight="false" outlineLevel="0" collapsed="false">
      <c r="B18" s="6" t="s">
        <v>8</v>
      </c>
      <c r="C18" s="13" t="n">
        <f aca="false">IF(C8&lt;C6,C10,C6-(C8-C10))</f>
        <v>4.45</v>
      </c>
      <c r="D18" s="8"/>
      <c r="F18" s="6" t="s">
        <v>8</v>
      </c>
      <c r="G18" s="13" t="n">
        <f aca="false">IF(G8&lt;G6,G10,G6-(G8-G10))</f>
        <v>6.65</v>
      </c>
      <c r="H18" s="8"/>
      <c r="J18" s="6" t="s">
        <v>8</v>
      </c>
      <c r="K18" s="13" t="n">
        <f aca="false">IF(K8&lt;K6,K10,K6-(K8-K10))</f>
        <v>1.05</v>
      </c>
      <c r="L18" s="8"/>
    </row>
    <row r="19" customFormat="false" ht="4.5" hidden="false" customHeight="true" outlineLevel="0" collapsed="false">
      <c r="B19" s="6"/>
      <c r="C19" s="13"/>
      <c r="D19" s="8"/>
      <c r="F19" s="6"/>
      <c r="G19" s="13"/>
      <c r="H19" s="8"/>
      <c r="J19" s="6"/>
      <c r="K19" s="13"/>
      <c r="L19" s="8"/>
    </row>
    <row r="20" customFormat="false" ht="15" hidden="false" customHeight="false" outlineLevel="0" collapsed="false">
      <c r="B20" s="6" t="s">
        <v>9</v>
      </c>
      <c r="C20" s="13" t="n">
        <f aca="false">C10-C18</f>
        <v>0</v>
      </c>
      <c r="D20" s="8"/>
      <c r="F20" s="6" t="s">
        <v>9</v>
      </c>
      <c r="G20" s="13" t="n">
        <f aca="false">G10-G18</f>
        <v>0</v>
      </c>
      <c r="H20" s="8"/>
      <c r="J20" s="6" t="s">
        <v>9</v>
      </c>
      <c r="K20" s="13" t="n">
        <f aca="false">K10-K18</f>
        <v>0</v>
      </c>
      <c r="L20" s="8"/>
    </row>
    <row r="21" customFormat="false" ht="4.5" hidden="false" customHeight="true" outlineLevel="0" collapsed="false">
      <c r="B21" s="6"/>
      <c r="C21" s="13"/>
      <c r="D21" s="8"/>
      <c r="F21" s="6"/>
      <c r="G21" s="13"/>
      <c r="H21" s="8"/>
      <c r="J21" s="6"/>
      <c r="K21" s="13"/>
      <c r="L21" s="8"/>
    </row>
    <row r="22" customFormat="false" ht="14.05" hidden="false" customHeight="true" outlineLevel="0" collapsed="false">
      <c r="B22" s="6" t="s">
        <v>10</v>
      </c>
      <c r="C22" s="16" t="n">
        <f aca="false">C16/C6-1</f>
        <v>-0.0806909607193564</v>
      </c>
      <c r="D22" s="8"/>
      <c r="F22" s="6" t="s">
        <v>10</v>
      </c>
      <c r="G22" s="16" t="n">
        <f aca="false">G16/G6-1</f>
        <v>-0.10593153494242</v>
      </c>
      <c r="H22" s="8"/>
      <c r="J22" s="6" t="s">
        <v>10</v>
      </c>
      <c r="K22" s="16" t="n">
        <f aca="false">K16/K6-1</f>
        <v>-0.0850916637841578</v>
      </c>
      <c r="L22" s="8"/>
    </row>
    <row r="23" customFormat="false" ht="4.5" hidden="false" customHeight="true" outlineLevel="0" collapsed="false">
      <c r="B23" s="6"/>
      <c r="C23" s="13"/>
      <c r="D23" s="8"/>
      <c r="F23" s="6"/>
      <c r="G23" s="13"/>
      <c r="H23" s="8"/>
      <c r="J23" s="6"/>
      <c r="K23" s="13"/>
      <c r="L23" s="8"/>
    </row>
    <row r="24" customFormat="false" ht="12.75" hidden="false" customHeight="false" outlineLevel="0" collapsed="false">
      <c r="B24" s="6" t="s">
        <v>11</v>
      </c>
      <c r="C24" s="17" t="n">
        <f aca="false">C14/((C8-C10)*C12*100)</f>
        <v>0.0381810381810382</v>
      </c>
      <c r="D24" s="8"/>
      <c r="F24" s="6" t="s">
        <v>11</v>
      </c>
      <c r="G24" s="17" t="n">
        <f aca="false">G14/((G8-G10)*G12*100)</f>
        <v>0.05866784296427</v>
      </c>
      <c r="H24" s="8"/>
      <c r="J24" s="6" t="s">
        <v>11</v>
      </c>
      <c r="K24" s="17" t="n">
        <f aca="false">K14/((K8-K10)*K12*100)</f>
        <v>0.0396975425330813</v>
      </c>
      <c r="L24" s="8"/>
    </row>
    <row r="25" customFormat="false" ht="4.5" hidden="false" customHeight="true" outlineLevel="0" collapsed="false">
      <c r="B25" s="6"/>
      <c r="C25" s="13"/>
      <c r="D25" s="8"/>
      <c r="F25" s="6"/>
      <c r="G25" s="13"/>
      <c r="H25" s="8"/>
      <c r="J25" s="6"/>
      <c r="K25" s="13"/>
      <c r="L25" s="8"/>
    </row>
    <row r="26" customFormat="false" ht="15" hidden="false" customHeight="false" outlineLevel="0" collapsed="false">
      <c r="B26" s="6" t="s">
        <v>12</v>
      </c>
      <c r="C26" s="16" t="n">
        <f aca="false">(365/(C4-C3+1))*C24</f>
        <v>-0.0954525954525955</v>
      </c>
      <c r="D26" s="8"/>
      <c r="F26" s="6" t="s">
        <v>12</v>
      </c>
      <c r="G26" s="16" t="n">
        <f aca="false">(365/(G4-G3+1))*G24</f>
        <v>-0.171310101455668</v>
      </c>
      <c r="H26" s="8"/>
      <c r="J26" s="6" t="s">
        <v>12</v>
      </c>
      <c r="K26" s="16" t="n">
        <f aca="false">(365/(K4-K3+1))*K24</f>
        <v>-2.41493383742911</v>
      </c>
      <c r="L26" s="8"/>
    </row>
    <row r="27" customFormat="false" ht="4.5" hidden="false" customHeight="true" outlineLevel="0" collapsed="false">
      <c r="B27" s="6"/>
      <c r="C27" s="13"/>
      <c r="D27" s="8"/>
      <c r="F27" s="6"/>
      <c r="G27" s="13"/>
      <c r="H27" s="8"/>
      <c r="J27" s="6"/>
      <c r="K27" s="13"/>
      <c r="L27" s="8"/>
    </row>
    <row r="28" customFormat="false" ht="12.75" hidden="false" customHeight="false" outlineLevel="0" collapsed="false">
      <c r="B28" s="6" t="s">
        <v>13</v>
      </c>
      <c r="C28" s="18" t="n">
        <f aca="false">-(C8*C12*100-C14)</f>
        <v>-11655</v>
      </c>
      <c r="D28" s="8"/>
      <c r="F28" s="6" t="s">
        <v>13</v>
      </c>
      <c r="G28" s="18" t="n">
        <f aca="false">-(G8*G12*100-G14)</f>
        <v>-11335</v>
      </c>
      <c r="H28" s="8"/>
      <c r="J28" s="6" t="s">
        <v>13</v>
      </c>
      <c r="K28" s="18" t="n">
        <f aca="false">-(K8*K12*100-K14)</f>
        <v>-2645</v>
      </c>
      <c r="L28" s="8"/>
    </row>
    <row r="29" customFormat="false" ht="3" hidden="false" customHeight="true" outlineLevel="0" collapsed="false">
      <c r="B29" s="6"/>
      <c r="C29" s="13"/>
      <c r="D29" s="8"/>
      <c r="F29" s="6"/>
      <c r="G29" s="13"/>
      <c r="H29" s="8"/>
      <c r="J29" s="6"/>
      <c r="K29" s="13"/>
      <c r="L29" s="8"/>
    </row>
    <row r="30" customFormat="false" ht="12.75" hidden="false" customHeight="false" outlineLevel="0" collapsed="false">
      <c r="B30" s="6" t="s">
        <v>14</v>
      </c>
      <c r="C30" s="19" t="n">
        <f aca="false">C14</f>
        <v>445</v>
      </c>
      <c r="D30" s="8"/>
      <c r="F30" s="6" t="s">
        <v>14</v>
      </c>
      <c r="G30" s="19" t="n">
        <f aca="false">G14</f>
        <v>665</v>
      </c>
      <c r="H30" s="8"/>
      <c r="J30" s="6" t="s">
        <v>14</v>
      </c>
      <c r="K30" s="19" t="n">
        <f aca="false">K14</f>
        <v>105</v>
      </c>
      <c r="L30" s="8"/>
    </row>
    <row r="31" customFormat="false" ht="13.5" hidden="false" customHeight="false" outlineLevel="0" collapsed="false">
      <c r="B31" s="20"/>
      <c r="C31" s="21"/>
      <c r="D31" s="22"/>
      <c r="F31" s="20"/>
      <c r="G31" s="21"/>
      <c r="H31" s="22"/>
      <c r="J31" s="20"/>
      <c r="K31" s="21"/>
      <c r="L31" s="22"/>
    </row>
    <row r="32" customFormat="false" ht="4.5" hidden="false" customHeight="true" outlineLevel="0" collapsed="false"/>
    <row r="34" customFormat="false" ht="12.75" hidden="true" customHeight="false" outlineLevel="0" collapsed="false">
      <c r="B34" s="23" t="s">
        <v>15</v>
      </c>
      <c r="C34" s="24"/>
      <c r="D34" s="25"/>
      <c r="F34" s="23" t="s">
        <v>15</v>
      </c>
      <c r="G34" s="24" t="n">
        <v>18</v>
      </c>
      <c r="H34" s="25"/>
      <c r="J34" s="23" t="s">
        <v>15</v>
      </c>
      <c r="K34" s="24"/>
      <c r="L34" s="25"/>
    </row>
    <row r="35" customFormat="false" ht="12.75" hidden="true" customHeight="false" outlineLevel="0" collapsed="false">
      <c r="B35" s="26"/>
      <c r="C35" s="27"/>
      <c r="D35" s="28"/>
      <c r="F35" s="26"/>
      <c r="G35" s="27"/>
      <c r="H35" s="28"/>
      <c r="J35" s="26"/>
      <c r="K35" s="27"/>
      <c r="L35" s="28"/>
    </row>
    <row r="36" customFormat="false" ht="12.75" hidden="true" customHeight="false" outlineLevel="0" collapsed="false">
      <c r="B36" s="26" t="str">
        <f aca="false">IF(C36&gt;0,"Gain per contract", "Loss per contract")</f>
        <v>Loss per contract</v>
      </c>
      <c r="C36" s="29"/>
      <c r="D36" s="28"/>
      <c r="F36" s="26" t="str">
        <f aca="false">IF(G36&gt;0,"Gain per contract", "Loss per contract")</f>
        <v>Loss per contract</v>
      </c>
      <c r="G36" s="29" t="n">
        <f aca="false">IF(G34&gt;G8,G10,-(G8-G34-G10))</f>
        <v>-95.35</v>
      </c>
      <c r="H36" s="28"/>
      <c r="J36" s="26" t="str">
        <f aca="false">IF(K36&gt;0,"Gain per contract", "Loss per contract")</f>
        <v>Loss per contract</v>
      </c>
      <c r="K36" s="29"/>
      <c r="L36" s="28"/>
    </row>
    <row r="37" customFormat="false" ht="12.75" hidden="true" customHeight="false" outlineLevel="0" collapsed="false">
      <c r="B37" s="26" t="str">
        <f aca="false">IF(C37&gt;0,"Total Gain","Total Loss")</f>
        <v>Total Loss</v>
      </c>
      <c r="C37" s="29"/>
      <c r="D37" s="28"/>
      <c r="F37" s="26" t="str">
        <f aca="false">IF(G37&gt;0,"Total Gain","Total Loss")</f>
        <v>Total Loss</v>
      </c>
      <c r="G37" s="29" t="n">
        <f aca="false">G36*100*G12</f>
        <v>-9535</v>
      </c>
      <c r="H37" s="28"/>
      <c r="J37" s="26" t="str">
        <f aca="false">IF(K37&gt;0,"Total Gain","Total Loss")</f>
        <v>Total Loss</v>
      </c>
      <c r="K37" s="29"/>
      <c r="L37" s="28"/>
    </row>
    <row r="38" customFormat="false" ht="12.75" hidden="true" customHeight="false" outlineLevel="0" collapsed="false">
      <c r="B38" s="26"/>
      <c r="C38" s="27"/>
      <c r="D38" s="28"/>
      <c r="F38" s="26"/>
      <c r="G38" s="27"/>
      <c r="H38" s="28"/>
      <c r="J38" s="26"/>
      <c r="K38" s="27"/>
      <c r="L38" s="28"/>
    </row>
    <row r="39" customFormat="false" ht="15.75" hidden="true" customHeight="false" outlineLevel="0" collapsed="false">
      <c r="B39" s="30" t="str">
        <f aca="false">IF(C39&gt;0,"Percentage Gain","Percentage Loss")</f>
        <v>Percentage Loss</v>
      </c>
      <c r="C39" s="31"/>
      <c r="D39" s="32"/>
      <c r="F39" s="30" t="str">
        <f aca="false">IF(G39&gt;0,"Percentage Gain","Percentage Loss")</f>
        <v>Percentage Loss</v>
      </c>
      <c r="G39" s="31" t="n">
        <f aca="false">G37/G14</f>
        <v>-14.3383458646617</v>
      </c>
      <c r="H39" s="32"/>
      <c r="J39" s="30" t="str">
        <f aca="false">IF(K39&gt;0,"Percentage Gain","Percentage Loss")</f>
        <v>Percentage Loss</v>
      </c>
      <c r="K39" s="31"/>
      <c r="L39" s="32"/>
    </row>
    <row r="40" customFormat="false" ht="12.75" hidden="true" customHeight="false" outlineLevel="0" collapsed="false"/>
    <row r="41" s="33" customFormat="true" ht="12.75" hidden="false" customHeight="false" outlineLevel="0" collapsed="false">
      <c r="B41" s="34"/>
      <c r="C41" s="34" t="n">
        <v>3.02</v>
      </c>
      <c r="F41" s="34"/>
      <c r="G41" s="34" t="n">
        <f aca="false">G6*0.0322</f>
        <v>4.082316</v>
      </c>
      <c r="J41" s="34"/>
      <c r="K41" s="34"/>
    </row>
    <row r="42" customFormat="false" ht="12.75" hidden="false" customHeight="false" outlineLevel="0" collapsed="false">
      <c r="B42" s="35"/>
      <c r="C42" s="36" t="n">
        <f aca="false">C41/C16</f>
        <v>0.0259116259116259</v>
      </c>
      <c r="F42" s="35"/>
      <c r="G42" s="36" t="n">
        <f aca="false">G41/G16</f>
        <v>0.0360151389501544</v>
      </c>
      <c r="J42" s="35"/>
      <c r="K42" s="36"/>
    </row>
    <row r="43" customFormat="false" ht="12.75" hidden="false" customHeight="false" outlineLevel="0" collapsed="false">
      <c r="B43" s="37"/>
      <c r="C43" s="38"/>
      <c r="F43" s="37"/>
      <c r="G43" s="38"/>
      <c r="J43" s="37"/>
      <c r="K43" s="38"/>
    </row>
    <row r="44" customFormat="false" ht="12.75" hidden="false" customHeight="false" outlineLevel="0" collapsed="false">
      <c r="B44" s="37"/>
      <c r="C44" s="39"/>
      <c r="F44" s="37"/>
      <c r="G44" s="38"/>
      <c r="J44" s="37"/>
      <c r="K44" s="39"/>
    </row>
    <row r="45" customFormat="false" ht="12.75" hidden="false" customHeight="false" outlineLevel="0" collapsed="false">
      <c r="B45" s="40" t="s">
        <v>16</v>
      </c>
      <c r="C45" s="41"/>
      <c r="F45" s="37"/>
      <c r="G45" s="42"/>
      <c r="J45" s="37"/>
      <c r="K45" s="38"/>
    </row>
    <row r="46" customFormat="false" ht="12.75" hidden="false" customHeight="false" outlineLevel="0" collapsed="false">
      <c r="G46" s="42"/>
      <c r="K46" s="42"/>
    </row>
    <row r="47" customFormat="false" ht="12.75" hidden="false" customHeight="false" outlineLevel="0" collapsed="false">
      <c r="B47" s="37"/>
      <c r="C47" s="43"/>
      <c r="F47" s="37"/>
      <c r="G47" s="43"/>
      <c r="J47" s="37"/>
      <c r="K47" s="43"/>
    </row>
    <row r="48" customFormat="false" ht="12.75" hidden="false" customHeight="false" outlineLevel="0" collapsed="false">
      <c r="B48" s="37"/>
      <c r="C48" s="43"/>
      <c r="F48" s="44"/>
      <c r="G48" s="43"/>
      <c r="J48" s="37"/>
      <c r="K48" s="43"/>
    </row>
    <row r="49" customFormat="false" ht="12.75" hidden="false" customHeight="false" outlineLevel="0" collapsed="false">
      <c r="C49" s="43"/>
      <c r="F49" s="44"/>
      <c r="G49" s="15"/>
      <c r="K49" s="15"/>
    </row>
    <row r="50" customFormat="false" ht="12.75" hidden="false" customHeight="false" outlineLevel="0" collapsed="false">
      <c r="C50" s="45"/>
      <c r="F50" s="44"/>
      <c r="G50" s="43"/>
      <c r="K50" s="43"/>
    </row>
    <row r="51" customFormat="false" ht="12.75" hidden="false" customHeight="false" outlineLevel="0" collapsed="false">
      <c r="C51" s="43"/>
      <c r="G51" s="43"/>
      <c r="J51" s="39"/>
      <c r="K51" s="43"/>
    </row>
    <row r="52" customFormat="false" ht="12.75" hidden="false" customHeight="false" outlineLevel="0" collapsed="false">
      <c r="C52" s="43"/>
      <c r="G52" s="15"/>
      <c r="K52" s="15"/>
    </row>
    <row r="53" customFormat="false" ht="12.75" hidden="false" customHeight="false" outlineLevel="0" collapsed="false">
      <c r="C53" s="43"/>
      <c r="G53" s="43"/>
      <c r="K53" s="43"/>
    </row>
    <row r="54" customFormat="false" ht="12.75" hidden="false" customHeight="false" outlineLevel="0" collapsed="false">
      <c r="C54" s="43"/>
      <c r="G54" s="43"/>
      <c r="K54" s="43"/>
    </row>
    <row r="55" customFormat="false" ht="12.75" hidden="false" customHeight="false" outlineLevel="0" collapsed="false">
      <c r="C55" s="15"/>
      <c r="G55" s="46"/>
      <c r="K55" s="46"/>
    </row>
    <row r="56" customFormat="false" ht="12.75" hidden="false" customHeight="false" outlineLevel="0" collapsed="false">
      <c r="C56" s="43"/>
    </row>
    <row r="57" customFormat="false" ht="12.75" hidden="false" customHeight="false" outlineLevel="0" collapsed="false">
      <c r="C57" s="43"/>
    </row>
    <row r="58" customFormat="false" ht="12.75" hidden="false" customHeight="false" outlineLevel="0" collapsed="false">
      <c r="C58" s="43"/>
    </row>
    <row r="60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6" activeCellId="0" sqref="C16"/>
    </sheetView>
  </sheetViews>
  <sheetFormatPr defaultColWidth="9.1484375" defaultRowHeight="12.75" zeroHeight="false" outlineLevelRow="0" outlineLevelCol="0"/>
  <cols>
    <col collapsed="false" customWidth="true" hidden="false" outlineLevel="0" max="1" min="1" style="47" width="1.71"/>
    <col collapsed="false" customWidth="true" hidden="false" outlineLevel="0" max="2" min="2" style="47" width="20.14"/>
    <col collapsed="false" customWidth="true" hidden="false" outlineLevel="0" max="3" min="3" style="47" width="12.42"/>
    <col collapsed="false" customWidth="true" hidden="false" outlineLevel="0" max="4" min="4" style="47" width="18.29"/>
    <col collapsed="false" customWidth="true" hidden="false" outlineLevel="0" max="5" min="5" style="47" width="1"/>
    <col collapsed="false" customWidth="true" hidden="false" outlineLevel="0" max="6" min="6" style="47" width="21.14"/>
    <col collapsed="false" customWidth="true" hidden="false" outlineLevel="0" max="7" min="7" style="47" width="12.57"/>
    <col collapsed="false" customWidth="true" hidden="false" outlineLevel="0" max="8" min="8" style="47" width="18.57"/>
    <col collapsed="false" customWidth="true" hidden="false" outlineLevel="0" max="9" min="9" style="47" width="1.29"/>
    <col collapsed="false" customWidth="true" hidden="false" outlineLevel="0" max="10" min="10" style="47" width="21.14"/>
    <col collapsed="false" customWidth="true" hidden="false" outlineLevel="0" max="11" min="11" style="47" width="12.42"/>
    <col collapsed="false" customWidth="true" hidden="false" outlineLevel="0" max="12" min="12" style="47" width="18.29"/>
    <col collapsed="false" customWidth="true" hidden="false" outlineLevel="0" max="13" min="13" style="47" width="1"/>
    <col collapsed="false" customWidth="false" hidden="false" outlineLevel="0" max="210" min="14" style="47" width="9.14"/>
    <col collapsed="false" customWidth="true" hidden="false" outlineLevel="0" max="211" min="211" style="47" width="1.71"/>
    <col collapsed="false" customWidth="true" hidden="false" outlineLevel="0" max="212" min="212" style="47" width="20.14"/>
    <col collapsed="false" customWidth="true" hidden="false" outlineLevel="0" max="213" min="213" style="47" width="12.42"/>
    <col collapsed="false" customWidth="true" hidden="false" outlineLevel="0" max="214" min="214" style="47" width="17.29"/>
    <col collapsed="false" customWidth="true" hidden="false" outlineLevel="0" max="215" min="215" style="47" width="1"/>
    <col collapsed="false" customWidth="true" hidden="false" outlineLevel="0" max="216" min="216" style="47" width="21.14"/>
    <col collapsed="false" customWidth="true" hidden="false" outlineLevel="0" max="217" min="217" style="47" width="10.71"/>
    <col collapsed="false" customWidth="true" hidden="false" outlineLevel="0" max="218" min="218" style="47" width="18.57"/>
    <col collapsed="false" customWidth="true" hidden="false" outlineLevel="0" max="219" min="219" style="47" width="1.29"/>
    <col collapsed="false" customWidth="true" hidden="false" outlineLevel="0" max="220" min="220" style="47" width="21.14"/>
    <col collapsed="false" customWidth="true" hidden="false" outlineLevel="0" max="221" min="221" style="47" width="12.42"/>
    <col collapsed="false" customWidth="true" hidden="false" outlineLevel="0" max="222" min="222" style="47" width="18.29"/>
    <col collapsed="false" customWidth="true" hidden="false" outlineLevel="0" max="223" min="223" style="47" width="1"/>
    <col collapsed="false" customWidth="true" hidden="false" outlineLevel="0" max="224" min="224" style="47" width="20.29"/>
    <col collapsed="false" customWidth="true" hidden="false" outlineLevel="0" max="225" min="225" style="47" width="10.71"/>
    <col collapsed="false" customWidth="true" hidden="false" outlineLevel="0" max="226" min="226" style="47" width="17.29"/>
    <col collapsed="false" customWidth="true" hidden="false" outlineLevel="0" max="227" min="227" style="47" width="4.14"/>
    <col collapsed="false" customWidth="false" hidden="false" outlineLevel="0" max="466" min="228" style="47" width="9.14"/>
    <col collapsed="false" customWidth="true" hidden="false" outlineLevel="0" max="467" min="467" style="47" width="1.71"/>
    <col collapsed="false" customWidth="true" hidden="false" outlineLevel="0" max="468" min="468" style="47" width="20.14"/>
    <col collapsed="false" customWidth="true" hidden="false" outlineLevel="0" max="469" min="469" style="47" width="12.42"/>
    <col collapsed="false" customWidth="true" hidden="false" outlineLevel="0" max="470" min="470" style="47" width="17.29"/>
    <col collapsed="false" customWidth="true" hidden="false" outlineLevel="0" max="471" min="471" style="47" width="1"/>
    <col collapsed="false" customWidth="true" hidden="false" outlineLevel="0" max="472" min="472" style="47" width="21.14"/>
    <col collapsed="false" customWidth="true" hidden="false" outlineLevel="0" max="473" min="473" style="47" width="10.71"/>
    <col collapsed="false" customWidth="true" hidden="false" outlineLevel="0" max="474" min="474" style="47" width="18.57"/>
    <col collapsed="false" customWidth="true" hidden="false" outlineLevel="0" max="475" min="475" style="47" width="1.29"/>
    <col collapsed="false" customWidth="true" hidden="false" outlineLevel="0" max="476" min="476" style="47" width="21.14"/>
    <col collapsed="false" customWidth="true" hidden="false" outlineLevel="0" max="477" min="477" style="47" width="12.42"/>
    <col collapsed="false" customWidth="true" hidden="false" outlineLevel="0" max="478" min="478" style="47" width="18.29"/>
    <col collapsed="false" customWidth="true" hidden="false" outlineLevel="0" max="479" min="479" style="47" width="1"/>
    <col collapsed="false" customWidth="true" hidden="false" outlineLevel="0" max="480" min="480" style="47" width="20.29"/>
    <col collapsed="false" customWidth="true" hidden="false" outlineLevel="0" max="481" min="481" style="47" width="10.71"/>
    <col collapsed="false" customWidth="true" hidden="false" outlineLevel="0" max="482" min="482" style="47" width="17.29"/>
    <col collapsed="false" customWidth="true" hidden="false" outlineLevel="0" max="483" min="483" style="47" width="4.14"/>
    <col collapsed="false" customWidth="false" hidden="false" outlineLevel="0" max="722" min="484" style="47" width="9.14"/>
    <col collapsed="false" customWidth="true" hidden="false" outlineLevel="0" max="723" min="723" style="47" width="1.71"/>
    <col collapsed="false" customWidth="true" hidden="false" outlineLevel="0" max="724" min="724" style="47" width="20.14"/>
    <col collapsed="false" customWidth="true" hidden="false" outlineLevel="0" max="725" min="725" style="47" width="12.42"/>
    <col collapsed="false" customWidth="true" hidden="false" outlineLevel="0" max="726" min="726" style="47" width="17.29"/>
    <col collapsed="false" customWidth="true" hidden="false" outlineLevel="0" max="727" min="727" style="47" width="1"/>
    <col collapsed="false" customWidth="true" hidden="false" outlineLevel="0" max="728" min="728" style="47" width="21.14"/>
    <col collapsed="false" customWidth="true" hidden="false" outlineLevel="0" max="729" min="729" style="47" width="10.71"/>
    <col collapsed="false" customWidth="true" hidden="false" outlineLevel="0" max="730" min="730" style="47" width="18.57"/>
    <col collapsed="false" customWidth="true" hidden="false" outlineLevel="0" max="731" min="731" style="47" width="1.29"/>
    <col collapsed="false" customWidth="true" hidden="false" outlineLevel="0" max="732" min="732" style="47" width="21.14"/>
    <col collapsed="false" customWidth="true" hidden="false" outlineLevel="0" max="733" min="733" style="47" width="12.42"/>
    <col collapsed="false" customWidth="true" hidden="false" outlineLevel="0" max="734" min="734" style="47" width="18.29"/>
    <col collapsed="false" customWidth="true" hidden="false" outlineLevel="0" max="735" min="735" style="47" width="1"/>
    <col collapsed="false" customWidth="true" hidden="false" outlineLevel="0" max="736" min="736" style="47" width="20.29"/>
    <col collapsed="false" customWidth="true" hidden="false" outlineLevel="0" max="737" min="737" style="47" width="10.71"/>
    <col collapsed="false" customWidth="true" hidden="false" outlineLevel="0" max="738" min="738" style="47" width="17.29"/>
    <col collapsed="false" customWidth="true" hidden="false" outlineLevel="0" max="739" min="739" style="47" width="4.14"/>
    <col collapsed="false" customWidth="false" hidden="false" outlineLevel="0" max="978" min="740" style="47" width="9.14"/>
    <col collapsed="false" customWidth="true" hidden="false" outlineLevel="0" max="979" min="979" style="47" width="1.71"/>
    <col collapsed="false" customWidth="true" hidden="false" outlineLevel="0" max="980" min="980" style="47" width="20.14"/>
    <col collapsed="false" customWidth="true" hidden="false" outlineLevel="0" max="981" min="981" style="47" width="12.42"/>
    <col collapsed="false" customWidth="true" hidden="false" outlineLevel="0" max="982" min="982" style="47" width="17.29"/>
    <col collapsed="false" customWidth="true" hidden="false" outlineLevel="0" max="983" min="983" style="47" width="1"/>
    <col collapsed="false" customWidth="true" hidden="false" outlineLevel="0" max="984" min="984" style="47" width="21.14"/>
    <col collapsed="false" customWidth="true" hidden="false" outlineLevel="0" max="985" min="985" style="47" width="10.71"/>
    <col collapsed="false" customWidth="true" hidden="false" outlineLevel="0" max="986" min="986" style="47" width="18.57"/>
    <col collapsed="false" customWidth="true" hidden="false" outlineLevel="0" max="987" min="987" style="47" width="1.29"/>
    <col collapsed="false" customWidth="true" hidden="false" outlineLevel="0" max="988" min="988" style="47" width="21.14"/>
    <col collapsed="false" customWidth="true" hidden="false" outlineLevel="0" max="989" min="989" style="47" width="12.42"/>
    <col collapsed="false" customWidth="true" hidden="false" outlineLevel="0" max="990" min="990" style="47" width="18.29"/>
    <col collapsed="false" customWidth="true" hidden="false" outlineLevel="0" max="991" min="991" style="47" width="1"/>
    <col collapsed="false" customWidth="true" hidden="false" outlineLevel="0" max="992" min="992" style="47" width="20.29"/>
    <col collapsed="false" customWidth="true" hidden="false" outlineLevel="0" max="993" min="993" style="47" width="10.71"/>
    <col collapsed="false" customWidth="true" hidden="false" outlineLevel="0" max="994" min="994" style="47" width="17.29"/>
    <col collapsed="false" customWidth="true" hidden="false" outlineLevel="0" max="995" min="995" style="47" width="4.14"/>
    <col collapsed="false" customWidth="false" hidden="false" outlineLevel="0" max="1234" min="996" style="47" width="9.14"/>
    <col collapsed="false" customWidth="true" hidden="false" outlineLevel="0" max="1235" min="1235" style="47" width="1.71"/>
    <col collapsed="false" customWidth="true" hidden="false" outlineLevel="0" max="1236" min="1236" style="47" width="20.14"/>
    <col collapsed="false" customWidth="true" hidden="false" outlineLevel="0" max="1237" min="1237" style="47" width="12.42"/>
    <col collapsed="false" customWidth="true" hidden="false" outlineLevel="0" max="1238" min="1238" style="47" width="17.29"/>
    <col collapsed="false" customWidth="true" hidden="false" outlineLevel="0" max="1239" min="1239" style="47" width="1"/>
    <col collapsed="false" customWidth="true" hidden="false" outlineLevel="0" max="1240" min="1240" style="47" width="21.14"/>
    <col collapsed="false" customWidth="true" hidden="false" outlineLevel="0" max="1241" min="1241" style="47" width="10.71"/>
    <col collapsed="false" customWidth="true" hidden="false" outlineLevel="0" max="1242" min="1242" style="47" width="18.57"/>
    <col collapsed="false" customWidth="true" hidden="false" outlineLevel="0" max="1243" min="1243" style="47" width="1.29"/>
    <col collapsed="false" customWidth="true" hidden="false" outlineLevel="0" max="1244" min="1244" style="47" width="21.14"/>
    <col collapsed="false" customWidth="true" hidden="false" outlineLevel="0" max="1245" min="1245" style="47" width="12.42"/>
    <col collapsed="false" customWidth="true" hidden="false" outlineLevel="0" max="1246" min="1246" style="47" width="18.29"/>
    <col collapsed="false" customWidth="true" hidden="false" outlineLevel="0" max="1247" min="1247" style="47" width="1"/>
    <col collapsed="false" customWidth="true" hidden="false" outlineLevel="0" max="1248" min="1248" style="47" width="20.29"/>
    <col collapsed="false" customWidth="true" hidden="false" outlineLevel="0" max="1249" min="1249" style="47" width="10.71"/>
    <col collapsed="false" customWidth="true" hidden="false" outlineLevel="0" max="1250" min="1250" style="47" width="17.29"/>
    <col collapsed="false" customWidth="true" hidden="false" outlineLevel="0" max="1251" min="1251" style="47" width="4.14"/>
    <col collapsed="false" customWidth="false" hidden="false" outlineLevel="0" max="1490" min="1252" style="47" width="9.14"/>
    <col collapsed="false" customWidth="true" hidden="false" outlineLevel="0" max="1491" min="1491" style="47" width="1.71"/>
    <col collapsed="false" customWidth="true" hidden="false" outlineLevel="0" max="1492" min="1492" style="47" width="20.14"/>
    <col collapsed="false" customWidth="true" hidden="false" outlineLevel="0" max="1493" min="1493" style="47" width="12.42"/>
    <col collapsed="false" customWidth="true" hidden="false" outlineLevel="0" max="1494" min="1494" style="47" width="17.29"/>
    <col collapsed="false" customWidth="true" hidden="false" outlineLevel="0" max="1495" min="1495" style="47" width="1"/>
    <col collapsed="false" customWidth="true" hidden="false" outlineLevel="0" max="1496" min="1496" style="47" width="21.14"/>
    <col collapsed="false" customWidth="true" hidden="false" outlineLevel="0" max="1497" min="1497" style="47" width="10.71"/>
    <col collapsed="false" customWidth="true" hidden="false" outlineLevel="0" max="1498" min="1498" style="47" width="18.57"/>
    <col collapsed="false" customWidth="true" hidden="false" outlineLevel="0" max="1499" min="1499" style="47" width="1.29"/>
    <col collapsed="false" customWidth="true" hidden="false" outlineLevel="0" max="1500" min="1500" style="47" width="21.14"/>
    <col collapsed="false" customWidth="true" hidden="false" outlineLevel="0" max="1501" min="1501" style="47" width="12.42"/>
    <col collapsed="false" customWidth="true" hidden="false" outlineLevel="0" max="1502" min="1502" style="47" width="18.29"/>
    <col collapsed="false" customWidth="true" hidden="false" outlineLevel="0" max="1503" min="1503" style="47" width="1"/>
    <col collapsed="false" customWidth="true" hidden="false" outlineLevel="0" max="1504" min="1504" style="47" width="20.29"/>
    <col collapsed="false" customWidth="true" hidden="false" outlineLevel="0" max="1505" min="1505" style="47" width="10.71"/>
    <col collapsed="false" customWidth="true" hidden="false" outlineLevel="0" max="1506" min="1506" style="47" width="17.29"/>
    <col collapsed="false" customWidth="true" hidden="false" outlineLevel="0" max="1507" min="1507" style="47" width="4.14"/>
    <col collapsed="false" customWidth="false" hidden="false" outlineLevel="0" max="1746" min="1508" style="47" width="9.14"/>
    <col collapsed="false" customWidth="true" hidden="false" outlineLevel="0" max="1747" min="1747" style="47" width="1.71"/>
    <col collapsed="false" customWidth="true" hidden="false" outlineLevel="0" max="1748" min="1748" style="47" width="20.14"/>
    <col collapsed="false" customWidth="true" hidden="false" outlineLevel="0" max="1749" min="1749" style="47" width="12.42"/>
    <col collapsed="false" customWidth="true" hidden="false" outlineLevel="0" max="1750" min="1750" style="47" width="17.29"/>
    <col collapsed="false" customWidth="true" hidden="false" outlineLevel="0" max="1751" min="1751" style="47" width="1"/>
    <col collapsed="false" customWidth="true" hidden="false" outlineLevel="0" max="1752" min="1752" style="47" width="21.14"/>
    <col collapsed="false" customWidth="true" hidden="false" outlineLevel="0" max="1753" min="1753" style="47" width="10.71"/>
    <col collapsed="false" customWidth="true" hidden="false" outlineLevel="0" max="1754" min="1754" style="47" width="18.57"/>
    <col collapsed="false" customWidth="true" hidden="false" outlineLevel="0" max="1755" min="1755" style="47" width="1.29"/>
    <col collapsed="false" customWidth="true" hidden="false" outlineLevel="0" max="1756" min="1756" style="47" width="21.14"/>
    <col collapsed="false" customWidth="true" hidden="false" outlineLevel="0" max="1757" min="1757" style="47" width="12.42"/>
    <col collapsed="false" customWidth="true" hidden="false" outlineLevel="0" max="1758" min="1758" style="47" width="18.29"/>
    <col collapsed="false" customWidth="true" hidden="false" outlineLevel="0" max="1759" min="1759" style="47" width="1"/>
    <col collapsed="false" customWidth="true" hidden="false" outlineLevel="0" max="1760" min="1760" style="47" width="20.29"/>
    <col collapsed="false" customWidth="true" hidden="false" outlineLevel="0" max="1761" min="1761" style="47" width="10.71"/>
    <col collapsed="false" customWidth="true" hidden="false" outlineLevel="0" max="1762" min="1762" style="47" width="17.29"/>
    <col collapsed="false" customWidth="true" hidden="false" outlineLevel="0" max="1763" min="1763" style="47" width="4.14"/>
    <col collapsed="false" customWidth="false" hidden="false" outlineLevel="0" max="2002" min="1764" style="47" width="9.14"/>
    <col collapsed="false" customWidth="true" hidden="false" outlineLevel="0" max="2003" min="2003" style="47" width="1.71"/>
    <col collapsed="false" customWidth="true" hidden="false" outlineLevel="0" max="2004" min="2004" style="47" width="20.14"/>
    <col collapsed="false" customWidth="true" hidden="false" outlineLevel="0" max="2005" min="2005" style="47" width="12.42"/>
    <col collapsed="false" customWidth="true" hidden="false" outlineLevel="0" max="2006" min="2006" style="47" width="17.29"/>
    <col collapsed="false" customWidth="true" hidden="false" outlineLevel="0" max="2007" min="2007" style="47" width="1"/>
    <col collapsed="false" customWidth="true" hidden="false" outlineLevel="0" max="2008" min="2008" style="47" width="21.14"/>
    <col collapsed="false" customWidth="true" hidden="false" outlineLevel="0" max="2009" min="2009" style="47" width="10.71"/>
    <col collapsed="false" customWidth="true" hidden="false" outlineLevel="0" max="2010" min="2010" style="47" width="18.57"/>
    <col collapsed="false" customWidth="true" hidden="false" outlineLevel="0" max="2011" min="2011" style="47" width="1.29"/>
    <col collapsed="false" customWidth="true" hidden="false" outlineLevel="0" max="2012" min="2012" style="47" width="21.14"/>
    <col collapsed="false" customWidth="true" hidden="false" outlineLevel="0" max="2013" min="2013" style="47" width="12.42"/>
    <col collapsed="false" customWidth="true" hidden="false" outlineLevel="0" max="2014" min="2014" style="47" width="18.29"/>
    <col collapsed="false" customWidth="true" hidden="false" outlineLevel="0" max="2015" min="2015" style="47" width="1"/>
    <col collapsed="false" customWidth="true" hidden="false" outlineLevel="0" max="2016" min="2016" style="47" width="20.29"/>
    <col collapsed="false" customWidth="true" hidden="false" outlineLevel="0" max="2017" min="2017" style="47" width="10.71"/>
    <col collapsed="false" customWidth="true" hidden="false" outlineLevel="0" max="2018" min="2018" style="47" width="17.29"/>
    <col collapsed="false" customWidth="true" hidden="false" outlineLevel="0" max="2019" min="2019" style="47" width="4.14"/>
    <col collapsed="false" customWidth="false" hidden="false" outlineLevel="0" max="2258" min="2020" style="47" width="9.14"/>
    <col collapsed="false" customWidth="true" hidden="false" outlineLevel="0" max="2259" min="2259" style="47" width="1.71"/>
    <col collapsed="false" customWidth="true" hidden="false" outlineLevel="0" max="2260" min="2260" style="47" width="20.14"/>
    <col collapsed="false" customWidth="true" hidden="false" outlineLevel="0" max="2261" min="2261" style="47" width="12.42"/>
    <col collapsed="false" customWidth="true" hidden="false" outlineLevel="0" max="2262" min="2262" style="47" width="17.29"/>
    <col collapsed="false" customWidth="true" hidden="false" outlineLevel="0" max="2263" min="2263" style="47" width="1"/>
    <col collapsed="false" customWidth="true" hidden="false" outlineLevel="0" max="2264" min="2264" style="47" width="21.14"/>
    <col collapsed="false" customWidth="true" hidden="false" outlineLevel="0" max="2265" min="2265" style="47" width="10.71"/>
    <col collapsed="false" customWidth="true" hidden="false" outlineLevel="0" max="2266" min="2266" style="47" width="18.57"/>
    <col collapsed="false" customWidth="true" hidden="false" outlineLevel="0" max="2267" min="2267" style="47" width="1.29"/>
    <col collapsed="false" customWidth="true" hidden="false" outlineLevel="0" max="2268" min="2268" style="47" width="21.14"/>
    <col collapsed="false" customWidth="true" hidden="false" outlineLevel="0" max="2269" min="2269" style="47" width="12.42"/>
    <col collapsed="false" customWidth="true" hidden="false" outlineLevel="0" max="2270" min="2270" style="47" width="18.29"/>
    <col collapsed="false" customWidth="true" hidden="false" outlineLevel="0" max="2271" min="2271" style="47" width="1"/>
    <col collapsed="false" customWidth="true" hidden="false" outlineLevel="0" max="2272" min="2272" style="47" width="20.29"/>
    <col collapsed="false" customWidth="true" hidden="false" outlineLevel="0" max="2273" min="2273" style="47" width="10.71"/>
    <col collapsed="false" customWidth="true" hidden="false" outlineLevel="0" max="2274" min="2274" style="47" width="17.29"/>
    <col collapsed="false" customWidth="true" hidden="false" outlineLevel="0" max="2275" min="2275" style="47" width="4.14"/>
    <col collapsed="false" customWidth="false" hidden="false" outlineLevel="0" max="2514" min="2276" style="47" width="9.14"/>
    <col collapsed="false" customWidth="true" hidden="false" outlineLevel="0" max="2515" min="2515" style="47" width="1.71"/>
    <col collapsed="false" customWidth="true" hidden="false" outlineLevel="0" max="2516" min="2516" style="47" width="20.14"/>
    <col collapsed="false" customWidth="true" hidden="false" outlineLevel="0" max="2517" min="2517" style="47" width="12.42"/>
    <col collapsed="false" customWidth="true" hidden="false" outlineLevel="0" max="2518" min="2518" style="47" width="17.29"/>
    <col collapsed="false" customWidth="true" hidden="false" outlineLevel="0" max="2519" min="2519" style="47" width="1"/>
    <col collapsed="false" customWidth="true" hidden="false" outlineLevel="0" max="2520" min="2520" style="47" width="21.14"/>
    <col collapsed="false" customWidth="true" hidden="false" outlineLevel="0" max="2521" min="2521" style="47" width="10.71"/>
    <col collapsed="false" customWidth="true" hidden="false" outlineLevel="0" max="2522" min="2522" style="47" width="18.57"/>
    <col collapsed="false" customWidth="true" hidden="false" outlineLevel="0" max="2523" min="2523" style="47" width="1.29"/>
    <col collapsed="false" customWidth="true" hidden="false" outlineLevel="0" max="2524" min="2524" style="47" width="21.14"/>
    <col collapsed="false" customWidth="true" hidden="false" outlineLevel="0" max="2525" min="2525" style="47" width="12.42"/>
    <col collapsed="false" customWidth="true" hidden="false" outlineLevel="0" max="2526" min="2526" style="47" width="18.29"/>
    <col collapsed="false" customWidth="true" hidden="false" outlineLevel="0" max="2527" min="2527" style="47" width="1"/>
    <col collapsed="false" customWidth="true" hidden="false" outlineLevel="0" max="2528" min="2528" style="47" width="20.29"/>
    <col collapsed="false" customWidth="true" hidden="false" outlineLevel="0" max="2529" min="2529" style="47" width="10.71"/>
    <col collapsed="false" customWidth="true" hidden="false" outlineLevel="0" max="2530" min="2530" style="47" width="17.29"/>
    <col collapsed="false" customWidth="true" hidden="false" outlineLevel="0" max="2531" min="2531" style="47" width="4.14"/>
    <col collapsed="false" customWidth="false" hidden="false" outlineLevel="0" max="2770" min="2532" style="47" width="9.14"/>
    <col collapsed="false" customWidth="true" hidden="false" outlineLevel="0" max="2771" min="2771" style="47" width="1.71"/>
    <col collapsed="false" customWidth="true" hidden="false" outlineLevel="0" max="2772" min="2772" style="47" width="20.14"/>
    <col collapsed="false" customWidth="true" hidden="false" outlineLevel="0" max="2773" min="2773" style="47" width="12.42"/>
    <col collapsed="false" customWidth="true" hidden="false" outlineLevel="0" max="2774" min="2774" style="47" width="17.29"/>
    <col collapsed="false" customWidth="true" hidden="false" outlineLevel="0" max="2775" min="2775" style="47" width="1"/>
    <col collapsed="false" customWidth="true" hidden="false" outlineLevel="0" max="2776" min="2776" style="47" width="21.14"/>
    <col collapsed="false" customWidth="true" hidden="false" outlineLevel="0" max="2777" min="2777" style="47" width="10.71"/>
    <col collapsed="false" customWidth="true" hidden="false" outlineLevel="0" max="2778" min="2778" style="47" width="18.57"/>
    <col collapsed="false" customWidth="true" hidden="false" outlineLevel="0" max="2779" min="2779" style="47" width="1.29"/>
    <col collapsed="false" customWidth="true" hidden="false" outlineLevel="0" max="2780" min="2780" style="47" width="21.14"/>
    <col collapsed="false" customWidth="true" hidden="false" outlineLevel="0" max="2781" min="2781" style="47" width="12.42"/>
    <col collapsed="false" customWidth="true" hidden="false" outlineLevel="0" max="2782" min="2782" style="47" width="18.29"/>
    <col collapsed="false" customWidth="true" hidden="false" outlineLevel="0" max="2783" min="2783" style="47" width="1"/>
    <col collapsed="false" customWidth="true" hidden="false" outlineLevel="0" max="2784" min="2784" style="47" width="20.29"/>
    <col collapsed="false" customWidth="true" hidden="false" outlineLevel="0" max="2785" min="2785" style="47" width="10.71"/>
    <col collapsed="false" customWidth="true" hidden="false" outlineLevel="0" max="2786" min="2786" style="47" width="17.29"/>
    <col collapsed="false" customWidth="true" hidden="false" outlineLevel="0" max="2787" min="2787" style="47" width="4.14"/>
    <col collapsed="false" customWidth="false" hidden="false" outlineLevel="0" max="3026" min="2788" style="47" width="9.14"/>
    <col collapsed="false" customWidth="true" hidden="false" outlineLevel="0" max="3027" min="3027" style="47" width="1.71"/>
    <col collapsed="false" customWidth="true" hidden="false" outlineLevel="0" max="3028" min="3028" style="47" width="20.14"/>
    <col collapsed="false" customWidth="true" hidden="false" outlineLevel="0" max="3029" min="3029" style="47" width="12.42"/>
    <col collapsed="false" customWidth="true" hidden="false" outlineLevel="0" max="3030" min="3030" style="47" width="17.29"/>
    <col collapsed="false" customWidth="true" hidden="false" outlineLevel="0" max="3031" min="3031" style="47" width="1"/>
    <col collapsed="false" customWidth="true" hidden="false" outlineLevel="0" max="3032" min="3032" style="47" width="21.14"/>
    <col collapsed="false" customWidth="true" hidden="false" outlineLevel="0" max="3033" min="3033" style="47" width="10.71"/>
    <col collapsed="false" customWidth="true" hidden="false" outlineLevel="0" max="3034" min="3034" style="47" width="18.57"/>
    <col collapsed="false" customWidth="true" hidden="false" outlineLevel="0" max="3035" min="3035" style="47" width="1.29"/>
    <col collapsed="false" customWidth="true" hidden="false" outlineLevel="0" max="3036" min="3036" style="47" width="21.14"/>
    <col collapsed="false" customWidth="true" hidden="false" outlineLevel="0" max="3037" min="3037" style="47" width="12.42"/>
    <col collapsed="false" customWidth="true" hidden="false" outlineLevel="0" max="3038" min="3038" style="47" width="18.29"/>
    <col collapsed="false" customWidth="true" hidden="false" outlineLevel="0" max="3039" min="3039" style="47" width="1"/>
    <col collapsed="false" customWidth="true" hidden="false" outlineLevel="0" max="3040" min="3040" style="47" width="20.29"/>
    <col collapsed="false" customWidth="true" hidden="false" outlineLevel="0" max="3041" min="3041" style="47" width="10.71"/>
    <col collapsed="false" customWidth="true" hidden="false" outlineLevel="0" max="3042" min="3042" style="47" width="17.29"/>
    <col collapsed="false" customWidth="true" hidden="false" outlineLevel="0" max="3043" min="3043" style="47" width="4.14"/>
    <col collapsed="false" customWidth="false" hidden="false" outlineLevel="0" max="3282" min="3044" style="47" width="9.14"/>
    <col collapsed="false" customWidth="true" hidden="false" outlineLevel="0" max="3283" min="3283" style="47" width="1.71"/>
    <col collapsed="false" customWidth="true" hidden="false" outlineLevel="0" max="3284" min="3284" style="47" width="20.14"/>
    <col collapsed="false" customWidth="true" hidden="false" outlineLevel="0" max="3285" min="3285" style="47" width="12.42"/>
    <col collapsed="false" customWidth="true" hidden="false" outlineLevel="0" max="3286" min="3286" style="47" width="17.29"/>
    <col collapsed="false" customWidth="true" hidden="false" outlineLevel="0" max="3287" min="3287" style="47" width="1"/>
    <col collapsed="false" customWidth="true" hidden="false" outlineLevel="0" max="3288" min="3288" style="47" width="21.14"/>
    <col collapsed="false" customWidth="true" hidden="false" outlineLevel="0" max="3289" min="3289" style="47" width="10.71"/>
    <col collapsed="false" customWidth="true" hidden="false" outlineLevel="0" max="3290" min="3290" style="47" width="18.57"/>
    <col collapsed="false" customWidth="true" hidden="false" outlineLevel="0" max="3291" min="3291" style="47" width="1.29"/>
    <col collapsed="false" customWidth="true" hidden="false" outlineLevel="0" max="3292" min="3292" style="47" width="21.14"/>
    <col collapsed="false" customWidth="true" hidden="false" outlineLevel="0" max="3293" min="3293" style="47" width="12.42"/>
    <col collapsed="false" customWidth="true" hidden="false" outlineLevel="0" max="3294" min="3294" style="47" width="18.29"/>
    <col collapsed="false" customWidth="true" hidden="false" outlineLevel="0" max="3295" min="3295" style="47" width="1"/>
    <col collapsed="false" customWidth="true" hidden="false" outlineLevel="0" max="3296" min="3296" style="47" width="20.29"/>
    <col collapsed="false" customWidth="true" hidden="false" outlineLevel="0" max="3297" min="3297" style="47" width="10.71"/>
    <col collapsed="false" customWidth="true" hidden="false" outlineLevel="0" max="3298" min="3298" style="47" width="17.29"/>
    <col collapsed="false" customWidth="true" hidden="false" outlineLevel="0" max="3299" min="3299" style="47" width="4.14"/>
    <col collapsed="false" customWidth="false" hidden="false" outlineLevel="0" max="3538" min="3300" style="47" width="9.14"/>
    <col collapsed="false" customWidth="true" hidden="false" outlineLevel="0" max="3539" min="3539" style="47" width="1.71"/>
    <col collapsed="false" customWidth="true" hidden="false" outlineLevel="0" max="3540" min="3540" style="47" width="20.14"/>
    <col collapsed="false" customWidth="true" hidden="false" outlineLevel="0" max="3541" min="3541" style="47" width="12.42"/>
    <col collapsed="false" customWidth="true" hidden="false" outlineLevel="0" max="3542" min="3542" style="47" width="17.29"/>
    <col collapsed="false" customWidth="true" hidden="false" outlineLevel="0" max="3543" min="3543" style="47" width="1"/>
    <col collapsed="false" customWidth="true" hidden="false" outlineLevel="0" max="3544" min="3544" style="47" width="21.14"/>
    <col collapsed="false" customWidth="true" hidden="false" outlineLevel="0" max="3545" min="3545" style="47" width="10.71"/>
    <col collapsed="false" customWidth="true" hidden="false" outlineLevel="0" max="3546" min="3546" style="47" width="18.57"/>
    <col collapsed="false" customWidth="true" hidden="false" outlineLevel="0" max="3547" min="3547" style="47" width="1.29"/>
    <col collapsed="false" customWidth="true" hidden="false" outlineLevel="0" max="3548" min="3548" style="47" width="21.14"/>
    <col collapsed="false" customWidth="true" hidden="false" outlineLevel="0" max="3549" min="3549" style="47" width="12.42"/>
    <col collapsed="false" customWidth="true" hidden="false" outlineLevel="0" max="3550" min="3550" style="47" width="18.29"/>
    <col collapsed="false" customWidth="true" hidden="false" outlineLevel="0" max="3551" min="3551" style="47" width="1"/>
    <col collapsed="false" customWidth="true" hidden="false" outlineLevel="0" max="3552" min="3552" style="47" width="20.29"/>
    <col collapsed="false" customWidth="true" hidden="false" outlineLevel="0" max="3553" min="3553" style="47" width="10.71"/>
    <col collapsed="false" customWidth="true" hidden="false" outlineLevel="0" max="3554" min="3554" style="47" width="17.29"/>
    <col collapsed="false" customWidth="true" hidden="false" outlineLevel="0" max="3555" min="3555" style="47" width="4.14"/>
    <col collapsed="false" customWidth="false" hidden="false" outlineLevel="0" max="3794" min="3556" style="47" width="9.14"/>
    <col collapsed="false" customWidth="true" hidden="false" outlineLevel="0" max="3795" min="3795" style="47" width="1.71"/>
    <col collapsed="false" customWidth="true" hidden="false" outlineLevel="0" max="3796" min="3796" style="47" width="20.14"/>
    <col collapsed="false" customWidth="true" hidden="false" outlineLevel="0" max="3797" min="3797" style="47" width="12.42"/>
    <col collapsed="false" customWidth="true" hidden="false" outlineLevel="0" max="3798" min="3798" style="47" width="17.29"/>
    <col collapsed="false" customWidth="true" hidden="false" outlineLevel="0" max="3799" min="3799" style="47" width="1"/>
    <col collapsed="false" customWidth="true" hidden="false" outlineLevel="0" max="3800" min="3800" style="47" width="21.14"/>
    <col collapsed="false" customWidth="true" hidden="false" outlineLevel="0" max="3801" min="3801" style="47" width="10.71"/>
    <col collapsed="false" customWidth="true" hidden="false" outlineLevel="0" max="3802" min="3802" style="47" width="18.57"/>
    <col collapsed="false" customWidth="true" hidden="false" outlineLevel="0" max="3803" min="3803" style="47" width="1.29"/>
    <col collapsed="false" customWidth="true" hidden="false" outlineLevel="0" max="3804" min="3804" style="47" width="21.14"/>
    <col collapsed="false" customWidth="true" hidden="false" outlineLevel="0" max="3805" min="3805" style="47" width="12.42"/>
    <col collapsed="false" customWidth="true" hidden="false" outlineLevel="0" max="3806" min="3806" style="47" width="18.29"/>
    <col collapsed="false" customWidth="true" hidden="false" outlineLevel="0" max="3807" min="3807" style="47" width="1"/>
    <col collapsed="false" customWidth="true" hidden="false" outlineLevel="0" max="3808" min="3808" style="47" width="20.29"/>
    <col collapsed="false" customWidth="true" hidden="false" outlineLevel="0" max="3809" min="3809" style="47" width="10.71"/>
    <col collapsed="false" customWidth="true" hidden="false" outlineLevel="0" max="3810" min="3810" style="47" width="17.29"/>
    <col collapsed="false" customWidth="true" hidden="false" outlineLevel="0" max="3811" min="3811" style="47" width="4.14"/>
    <col collapsed="false" customWidth="false" hidden="false" outlineLevel="0" max="4050" min="3812" style="47" width="9.14"/>
    <col collapsed="false" customWidth="true" hidden="false" outlineLevel="0" max="4051" min="4051" style="47" width="1.71"/>
    <col collapsed="false" customWidth="true" hidden="false" outlineLevel="0" max="4052" min="4052" style="47" width="20.14"/>
    <col collapsed="false" customWidth="true" hidden="false" outlineLevel="0" max="4053" min="4053" style="47" width="12.42"/>
    <col collapsed="false" customWidth="true" hidden="false" outlineLevel="0" max="4054" min="4054" style="47" width="17.29"/>
    <col collapsed="false" customWidth="true" hidden="false" outlineLevel="0" max="4055" min="4055" style="47" width="1"/>
    <col collapsed="false" customWidth="true" hidden="false" outlineLevel="0" max="4056" min="4056" style="47" width="21.14"/>
    <col collapsed="false" customWidth="true" hidden="false" outlineLevel="0" max="4057" min="4057" style="47" width="10.71"/>
    <col collapsed="false" customWidth="true" hidden="false" outlineLevel="0" max="4058" min="4058" style="47" width="18.57"/>
    <col collapsed="false" customWidth="true" hidden="false" outlineLevel="0" max="4059" min="4059" style="47" width="1.29"/>
    <col collapsed="false" customWidth="true" hidden="false" outlineLevel="0" max="4060" min="4060" style="47" width="21.14"/>
    <col collapsed="false" customWidth="true" hidden="false" outlineLevel="0" max="4061" min="4061" style="47" width="12.42"/>
    <col collapsed="false" customWidth="true" hidden="false" outlineLevel="0" max="4062" min="4062" style="47" width="18.29"/>
    <col collapsed="false" customWidth="true" hidden="false" outlineLevel="0" max="4063" min="4063" style="47" width="1"/>
    <col collapsed="false" customWidth="true" hidden="false" outlineLevel="0" max="4064" min="4064" style="47" width="20.29"/>
    <col collapsed="false" customWidth="true" hidden="false" outlineLevel="0" max="4065" min="4065" style="47" width="10.71"/>
    <col collapsed="false" customWidth="true" hidden="false" outlineLevel="0" max="4066" min="4066" style="47" width="17.29"/>
    <col collapsed="false" customWidth="true" hidden="false" outlineLevel="0" max="4067" min="4067" style="47" width="4.14"/>
    <col collapsed="false" customWidth="false" hidden="false" outlineLevel="0" max="4306" min="4068" style="47" width="9.14"/>
    <col collapsed="false" customWidth="true" hidden="false" outlineLevel="0" max="4307" min="4307" style="47" width="1.71"/>
    <col collapsed="false" customWidth="true" hidden="false" outlineLevel="0" max="4308" min="4308" style="47" width="20.14"/>
    <col collapsed="false" customWidth="true" hidden="false" outlineLevel="0" max="4309" min="4309" style="47" width="12.42"/>
    <col collapsed="false" customWidth="true" hidden="false" outlineLevel="0" max="4310" min="4310" style="47" width="17.29"/>
    <col collapsed="false" customWidth="true" hidden="false" outlineLevel="0" max="4311" min="4311" style="47" width="1"/>
    <col collapsed="false" customWidth="true" hidden="false" outlineLevel="0" max="4312" min="4312" style="47" width="21.14"/>
    <col collapsed="false" customWidth="true" hidden="false" outlineLevel="0" max="4313" min="4313" style="47" width="10.71"/>
    <col collapsed="false" customWidth="true" hidden="false" outlineLevel="0" max="4314" min="4314" style="47" width="18.57"/>
    <col collapsed="false" customWidth="true" hidden="false" outlineLevel="0" max="4315" min="4315" style="47" width="1.29"/>
    <col collapsed="false" customWidth="true" hidden="false" outlineLevel="0" max="4316" min="4316" style="47" width="21.14"/>
    <col collapsed="false" customWidth="true" hidden="false" outlineLevel="0" max="4317" min="4317" style="47" width="12.42"/>
    <col collapsed="false" customWidth="true" hidden="false" outlineLevel="0" max="4318" min="4318" style="47" width="18.29"/>
    <col collapsed="false" customWidth="true" hidden="false" outlineLevel="0" max="4319" min="4319" style="47" width="1"/>
    <col collapsed="false" customWidth="true" hidden="false" outlineLevel="0" max="4320" min="4320" style="47" width="20.29"/>
    <col collapsed="false" customWidth="true" hidden="false" outlineLevel="0" max="4321" min="4321" style="47" width="10.71"/>
    <col collapsed="false" customWidth="true" hidden="false" outlineLevel="0" max="4322" min="4322" style="47" width="17.29"/>
    <col collapsed="false" customWidth="true" hidden="false" outlineLevel="0" max="4323" min="4323" style="47" width="4.14"/>
    <col collapsed="false" customWidth="false" hidden="false" outlineLevel="0" max="4562" min="4324" style="47" width="9.14"/>
    <col collapsed="false" customWidth="true" hidden="false" outlineLevel="0" max="4563" min="4563" style="47" width="1.71"/>
    <col collapsed="false" customWidth="true" hidden="false" outlineLevel="0" max="4564" min="4564" style="47" width="20.14"/>
    <col collapsed="false" customWidth="true" hidden="false" outlineLevel="0" max="4565" min="4565" style="47" width="12.42"/>
    <col collapsed="false" customWidth="true" hidden="false" outlineLevel="0" max="4566" min="4566" style="47" width="17.29"/>
    <col collapsed="false" customWidth="true" hidden="false" outlineLevel="0" max="4567" min="4567" style="47" width="1"/>
    <col collapsed="false" customWidth="true" hidden="false" outlineLevel="0" max="4568" min="4568" style="47" width="21.14"/>
    <col collapsed="false" customWidth="true" hidden="false" outlineLevel="0" max="4569" min="4569" style="47" width="10.71"/>
    <col collapsed="false" customWidth="true" hidden="false" outlineLevel="0" max="4570" min="4570" style="47" width="18.57"/>
    <col collapsed="false" customWidth="true" hidden="false" outlineLevel="0" max="4571" min="4571" style="47" width="1.29"/>
    <col collapsed="false" customWidth="true" hidden="false" outlineLevel="0" max="4572" min="4572" style="47" width="21.14"/>
    <col collapsed="false" customWidth="true" hidden="false" outlineLevel="0" max="4573" min="4573" style="47" width="12.42"/>
    <col collapsed="false" customWidth="true" hidden="false" outlineLevel="0" max="4574" min="4574" style="47" width="18.29"/>
    <col collapsed="false" customWidth="true" hidden="false" outlineLevel="0" max="4575" min="4575" style="47" width="1"/>
    <col collapsed="false" customWidth="true" hidden="false" outlineLevel="0" max="4576" min="4576" style="47" width="20.29"/>
    <col collapsed="false" customWidth="true" hidden="false" outlineLevel="0" max="4577" min="4577" style="47" width="10.71"/>
    <col collapsed="false" customWidth="true" hidden="false" outlineLevel="0" max="4578" min="4578" style="47" width="17.29"/>
    <col collapsed="false" customWidth="true" hidden="false" outlineLevel="0" max="4579" min="4579" style="47" width="4.14"/>
    <col collapsed="false" customWidth="false" hidden="false" outlineLevel="0" max="4818" min="4580" style="47" width="9.14"/>
    <col collapsed="false" customWidth="true" hidden="false" outlineLevel="0" max="4819" min="4819" style="47" width="1.71"/>
    <col collapsed="false" customWidth="true" hidden="false" outlineLevel="0" max="4820" min="4820" style="47" width="20.14"/>
    <col collapsed="false" customWidth="true" hidden="false" outlineLevel="0" max="4821" min="4821" style="47" width="12.42"/>
    <col collapsed="false" customWidth="true" hidden="false" outlineLevel="0" max="4822" min="4822" style="47" width="17.29"/>
    <col collapsed="false" customWidth="true" hidden="false" outlineLevel="0" max="4823" min="4823" style="47" width="1"/>
    <col collapsed="false" customWidth="true" hidden="false" outlineLevel="0" max="4824" min="4824" style="47" width="21.14"/>
    <col collapsed="false" customWidth="true" hidden="false" outlineLevel="0" max="4825" min="4825" style="47" width="10.71"/>
    <col collapsed="false" customWidth="true" hidden="false" outlineLevel="0" max="4826" min="4826" style="47" width="18.57"/>
    <col collapsed="false" customWidth="true" hidden="false" outlineLevel="0" max="4827" min="4827" style="47" width="1.29"/>
    <col collapsed="false" customWidth="true" hidden="false" outlineLevel="0" max="4828" min="4828" style="47" width="21.14"/>
    <col collapsed="false" customWidth="true" hidden="false" outlineLevel="0" max="4829" min="4829" style="47" width="12.42"/>
    <col collapsed="false" customWidth="true" hidden="false" outlineLevel="0" max="4830" min="4830" style="47" width="18.29"/>
    <col collapsed="false" customWidth="true" hidden="false" outlineLevel="0" max="4831" min="4831" style="47" width="1"/>
    <col collapsed="false" customWidth="true" hidden="false" outlineLevel="0" max="4832" min="4832" style="47" width="20.29"/>
    <col collapsed="false" customWidth="true" hidden="false" outlineLevel="0" max="4833" min="4833" style="47" width="10.71"/>
    <col collapsed="false" customWidth="true" hidden="false" outlineLevel="0" max="4834" min="4834" style="47" width="17.29"/>
    <col collapsed="false" customWidth="true" hidden="false" outlineLevel="0" max="4835" min="4835" style="47" width="4.14"/>
    <col collapsed="false" customWidth="false" hidden="false" outlineLevel="0" max="5074" min="4836" style="47" width="9.14"/>
    <col collapsed="false" customWidth="true" hidden="false" outlineLevel="0" max="5075" min="5075" style="47" width="1.71"/>
    <col collapsed="false" customWidth="true" hidden="false" outlineLevel="0" max="5076" min="5076" style="47" width="20.14"/>
    <col collapsed="false" customWidth="true" hidden="false" outlineLevel="0" max="5077" min="5077" style="47" width="12.42"/>
    <col collapsed="false" customWidth="true" hidden="false" outlineLevel="0" max="5078" min="5078" style="47" width="17.29"/>
    <col collapsed="false" customWidth="true" hidden="false" outlineLevel="0" max="5079" min="5079" style="47" width="1"/>
    <col collapsed="false" customWidth="true" hidden="false" outlineLevel="0" max="5080" min="5080" style="47" width="21.14"/>
    <col collapsed="false" customWidth="true" hidden="false" outlineLevel="0" max="5081" min="5081" style="47" width="10.71"/>
    <col collapsed="false" customWidth="true" hidden="false" outlineLevel="0" max="5082" min="5082" style="47" width="18.57"/>
    <col collapsed="false" customWidth="true" hidden="false" outlineLevel="0" max="5083" min="5083" style="47" width="1.29"/>
    <col collapsed="false" customWidth="true" hidden="false" outlineLevel="0" max="5084" min="5084" style="47" width="21.14"/>
    <col collapsed="false" customWidth="true" hidden="false" outlineLevel="0" max="5085" min="5085" style="47" width="12.42"/>
    <col collapsed="false" customWidth="true" hidden="false" outlineLevel="0" max="5086" min="5086" style="47" width="18.29"/>
    <col collapsed="false" customWidth="true" hidden="false" outlineLevel="0" max="5087" min="5087" style="47" width="1"/>
    <col collapsed="false" customWidth="true" hidden="false" outlineLevel="0" max="5088" min="5088" style="47" width="20.29"/>
    <col collapsed="false" customWidth="true" hidden="false" outlineLevel="0" max="5089" min="5089" style="47" width="10.71"/>
    <col collapsed="false" customWidth="true" hidden="false" outlineLevel="0" max="5090" min="5090" style="47" width="17.29"/>
    <col collapsed="false" customWidth="true" hidden="false" outlineLevel="0" max="5091" min="5091" style="47" width="4.14"/>
    <col collapsed="false" customWidth="false" hidden="false" outlineLevel="0" max="5330" min="5092" style="47" width="9.14"/>
    <col collapsed="false" customWidth="true" hidden="false" outlineLevel="0" max="5331" min="5331" style="47" width="1.71"/>
    <col collapsed="false" customWidth="true" hidden="false" outlineLevel="0" max="5332" min="5332" style="47" width="20.14"/>
    <col collapsed="false" customWidth="true" hidden="false" outlineLevel="0" max="5333" min="5333" style="47" width="12.42"/>
    <col collapsed="false" customWidth="true" hidden="false" outlineLevel="0" max="5334" min="5334" style="47" width="17.29"/>
    <col collapsed="false" customWidth="true" hidden="false" outlineLevel="0" max="5335" min="5335" style="47" width="1"/>
    <col collapsed="false" customWidth="true" hidden="false" outlineLevel="0" max="5336" min="5336" style="47" width="21.14"/>
    <col collapsed="false" customWidth="true" hidden="false" outlineLevel="0" max="5337" min="5337" style="47" width="10.71"/>
    <col collapsed="false" customWidth="true" hidden="false" outlineLevel="0" max="5338" min="5338" style="47" width="18.57"/>
    <col collapsed="false" customWidth="true" hidden="false" outlineLevel="0" max="5339" min="5339" style="47" width="1.29"/>
    <col collapsed="false" customWidth="true" hidden="false" outlineLevel="0" max="5340" min="5340" style="47" width="21.14"/>
    <col collapsed="false" customWidth="true" hidden="false" outlineLevel="0" max="5341" min="5341" style="47" width="12.42"/>
    <col collapsed="false" customWidth="true" hidden="false" outlineLevel="0" max="5342" min="5342" style="47" width="18.29"/>
    <col collapsed="false" customWidth="true" hidden="false" outlineLevel="0" max="5343" min="5343" style="47" width="1"/>
    <col collapsed="false" customWidth="true" hidden="false" outlineLevel="0" max="5344" min="5344" style="47" width="20.29"/>
    <col collapsed="false" customWidth="true" hidden="false" outlineLevel="0" max="5345" min="5345" style="47" width="10.71"/>
    <col collapsed="false" customWidth="true" hidden="false" outlineLevel="0" max="5346" min="5346" style="47" width="17.29"/>
    <col collapsed="false" customWidth="true" hidden="false" outlineLevel="0" max="5347" min="5347" style="47" width="4.14"/>
    <col collapsed="false" customWidth="false" hidden="false" outlineLevel="0" max="5586" min="5348" style="47" width="9.14"/>
    <col collapsed="false" customWidth="true" hidden="false" outlineLevel="0" max="5587" min="5587" style="47" width="1.71"/>
    <col collapsed="false" customWidth="true" hidden="false" outlineLevel="0" max="5588" min="5588" style="47" width="20.14"/>
    <col collapsed="false" customWidth="true" hidden="false" outlineLevel="0" max="5589" min="5589" style="47" width="12.42"/>
    <col collapsed="false" customWidth="true" hidden="false" outlineLevel="0" max="5590" min="5590" style="47" width="17.29"/>
    <col collapsed="false" customWidth="true" hidden="false" outlineLevel="0" max="5591" min="5591" style="47" width="1"/>
    <col collapsed="false" customWidth="true" hidden="false" outlineLevel="0" max="5592" min="5592" style="47" width="21.14"/>
    <col collapsed="false" customWidth="true" hidden="false" outlineLevel="0" max="5593" min="5593" style="47" width="10.71"/>
    <col collapsed="false" customWidth="true" hidden="false" outlineLevel="0" max="5594" min="5594" style="47" width="18.57"/>
    <col collapsed="false" customWidth="true" hidden="false" outlineLevel="0" max="5595" min="5595" style="47" width="1.29"/>
    <col collapsed="false" customWidth="true" hidden="false" outlineLevel="0" max="5596" min="5596" style="47" width="21.14"/>
    <col collapsed="false" customWidth="true" hidden="false" outlineLevel="0" max="5597" min="5597" style="47" width="12.42"/>
    <col collapsed="false" customWidth="true" hidden="false" outlineLevel="0" max="5598" min="5598" style="47" width="18.29"/>
    <col collapsed="false" customWidth="true" hidden="false" outlineLevel="0" max="5599" min="5599" style="47" width="1"/>
    <col collapsed="false" customWidth="true" hidden="false" outlineLevel="0" max="5600" min="5600" style="47" width="20.29"/>
    <col collapsed="false" customWidth="true" hidden="false" outlineLevel="0" max="5601" min="5601" style="47" width="10.71"/>
    <col collapsed="false" customWidth="true" hidden="false" outlineLevel="0" max="5602" min="5602" style="47" width="17.29"/>
    <col collapsed="false" customWidth="true" hidden="false" outlineLevel="0" max="5603" min="5603" style="47" width="4.14"/>
    <col collapsed="false" customWidth="false" hidden="false" outlineLevel="0" max="5842" min="5604" style="47" width="9.14"/>
    <col collapsed="false" customWidth="true" hidden="false" outlineLevel="0" max="5843" min="5843" style="47" width="1.71"/>
    <col collapsed="false" customWidth="true" hidden="false" outlineLevel="0" max="5844" min="5844" style="47" width="20.14"/>
    <col collapsed="false" customWidth="true" hidden="false" outlineLevel="0" max="5845" min="5845" style="47" width="12.42"/>
    <col collapsed="false" customWidth="true" hidden="false" outlineLevel="0" max="5846" min="5846" style="47" width="17.29"/>
    <col collapsed="false" customWidth="true" hidden="false" outlineLevel="0" max="5847" min="5847" style="47" width="1"/>
    <col collapsed="false" customWidth="true" hidden="false" outlineLevel="0" max="5848" min="5848" style="47" width="21.14"/>
    <col collapsed="false" customWidth="true" hidden="false" outlineLevel="0" max="5849" min="5849" style="47" width="10.71"/>
    <col collapsed="false" customWidth="true" hidden="false" outlineLevel="0" max="5850" min="5850" style="47" width="18.57"/>
    <col collapsed="false" customWidth="true" hidden="false" outlineLevel="0" max="5851" min="5851" style="47" width="1.29"/>
    <col collapsed="false" customWidth="true" hidden="false" outlineLevel="0" max="5852" min="5852" style="47" width="21.14"/>
    <col collapsed="false" customWidth="true" hidden="false" outlineLevel="0" max="5853" min="5853" style="47" width="12.42"/>
    <col collapsed="false" customWidth="true" hidden="false" outlineLevel="0" max="5854" min="5854" style="47" width="18.29"/>
    <col collapsed="false" customWidth="true" hidden="false" outlineLevel="0" max="5855" min="5855" style="47" width="1"/>
    <col collapsed="false" customWidth="true" hidden="false" outlineLevel="0" max="5856" min="5856" style="47" width="20.29"/>
    <col collapsed="false" customWidth="true" hidden="false" outlineLevel="0" max="5857" min="5857" style="47" width="10.71"/>
    <col collapsed="false" customWidth="true" hidden="false" outlineLevel="0" max="5858" min="5858" style="47" width="17.29"/>
    <col collapsed="false" customWidth="true" hidden="false" outlineLevel="0" max="5859" min="5859" style="47" width="4.14"/>
    <col collapsed="false" customWidth="false" hidden="false" outlineLevel="0" max="6098" min="5860" style="47" width="9.14"/>
    <col collapsed="false" customWidth="true" hidden="false" outlineLevel="0" max="6099" min="6099" style="47" width="1.71"/>
    <col collapsed="false" customWidth="true" hidden="false" outlineLevel="0" max="6100" min="6100" style="47" width="20.14"/>
    <col collapsed="false" customWidth="true" hidden="false" outlineLevel="0" max="6101" min="6101" style="47" width="12.42"/>
    <col collapsed="false" customWidth="true" hidden="false" outlineLevel="0" max="6102" min="6102" style="47" width="17.29"/>
    <col collapsed="false" customWidth="true" hidden="false" outlineLevel="0" max="6103" min="6103" style="47" width="1"/>
    <col collapsed="false" customWidth="true" hidden="false" outlineLevel="0" max="6104" min="6104" style="47" width="21.14"/>
    <col collapsed="false" customWidth="true" hidden="false" outlineLevel="0" max="6105" min="6105" style="47" width="10.71"/>
    <col collapsed="false" customWidth="true" hidden="false" outlineLevel="0" max="6106" min="6106" style="47" width="18.57"/>
    <col collapsed="false" customWidth="true" hidden="false" outlineLevel="0" max="6107" min="6107" style="47" width="1.29"/>
    <col collapsed="false" customWidth="true" hidden="false" outlineLevel="0" max="6108" min="6108" style="47" width="21.14"/>
    <col collapsed="false" customWidth="true" hidden="false" outlineLevel="0" max="6109" min="6109" style="47" width="12.42"/>
    <col collapsed="false" customWidth="true" hidden="false" outlineLevel="0" max="6110" min="6110" style="47" width="18.29"/>
    <col collapsed="false" customWidth="true" hidden="false" outlineLevel="0" max="6111" min="6111" style="47" width="1"/>
    <col collapsed="false" customWidth="true" hidden="false" outlineLevel="0" max="6112" min="6112" style="47" width="20.29"/>
    <col collapsed="false" customWidth="true" hidden="false" outlineLevel="0" max="6113" min="6113" style="47" width="10.71"/>
    <col collapsed="false" customWidth="true" hidden="false" outlineLevel="0" max="6114" min="6114" style="47" width="17.29"/>
    <col collapsed="false" customWidth="true" hidden="false" outlineLevel="0" max="6115" min="6115" style="47" width="4.14"/>
    <col collapsed="false" customWidth="false" hidden="false" outlineLevel="0" max="6354" min="6116" style="47" width="9.14"/>
    <col collapsed="false" customWidth="true" hidden="false" outlineLevel="0" max="6355" min="6355" style="47" width="1.71"/>
    <col collapsed="false" customWidth="true" hidden="false" outlineLevel="0" max="6356" min="6356" style="47" width="20.14"/>
    <col collapsed="false" customWidth="true" hidden="false" outlineLevel="0" max="6357" min="6357" style="47" width="12.42"/>
    <col collapsed="false" customWidth="true" hidden="false" outlineLevel="0" max="6358" min="6358" style="47" width="17.29"/>
    <col collapsed="false" customWidth="true" hidden="false" outlineLevel="0" max="6359" min="6359" style="47" width="1"/>
    <col collapsed="false" customWidth="true" hidden="false" outlineLevel="0" max="6360" min="6360" style="47" width="21.14"/>
    <col collapsed="false" customWidth="true" hidden="false" outlineLevel="0" max="6361" min="6361" style="47" width="10.71"/>
    <col collapsed="false" customWidth="true" hidden="false" outlineLevel="0" max="6362" min="6362" style="47" width="18.57"/>
    <col collapsed="false" customWidth="true" hidden="false" outlineLevel="0" max="6363" min="6363" style="47" width="1.29"/>
    <col collapsed="false" customWidth="true" hidden="false" outlineLevel="0" max="6364" min="6364" style="47" width="21.14"/>
    <col collapsed="false" customWidth="true" hidden="false" outlineLevel="0" max="6365" min="6365" style="47" width="12.42"/>
    <col collapsed="false" customWidth="true" hidden="false" outlineLevel="0" max="6366" min="6366" style="47" width="18.29"/>
    <col collapsed="false" customWidth="true" hidden="false" outlineLevel="0" max="6367" min="6367" style="47" width="1"/>
    <col collapsed="false" customWidth="true" hidden="false" outlineLevel="0" max="6368" min="6368" style="47" width="20.29"/>
    <col collapsed="false" customWidth="true" hidden="false" outlineLevel="0" max="6369" min="6369" style="47" width="10.71"/>
    <col collapsed="false" customWidth="true" hidden="false" outlineLevel="0" max="6370" min="6370" style="47" width="17.29"/>
    <col collapsed="false" customWidth="true" hidden="false" outlineLevel="0" max="6371" min="6371" style="47" width="4.14"/>
    <col collapsed="false" customWidth="false" hidden="false" outlineLevel="0" max="6610" min="6372" style="47" width="9.14"/>
    <col collapsed="false" customWidth="true" hidden="false" outlineLevel="0" max="6611" min="6611" style="47" width="1.71"/>
    <col collapsed="false" customWidth="true" hidden="false" outlineLevel="0" max="6612" min="6612" style="47" width="20.14"/>
    <col collapsed="false" customWidth="true" hidden="false" outlineLevel="0" max="6613" min="6613" style="47" width="12.42"/>
    <col collapsed="false" customWidth="true" hidden="false" outlineLevel="0" max="6614" min="6614" style="47" width="17.29"/>
    <col collapsed="false" customWidth="true" hidden="false" outlineLevel="0" max="6615" min="6615" style="47" width="1"/>
    <col collapsed="false" customWidth="true" hidden="false" outlineLevel="0" max="6616" min="6616" style="47" width="21.14"/>
    <col collapsed="false" customWidth="true" hidden="false" outlineLevel="0" max="6617" min="6617" style="47" width="10.71"/>
    <col collapsed="false" customWidth="true" hidden="false" outlineLevel="0" max="6618" min="6618" style="47" width="18.57"/>
    <col collapsed="false" customWidth="true" hidden="false" outlineLevel="0" max="6619" min="6619" style="47" width="1.29"/>
    <col collapsed="false" customWidth="true" hidden="false" outlineLevel="0" max="6620" min="6620" style="47" width="21.14"/>
    <col collapsed="false" customWidth="true" hidden="false" outlineLevel="0" max="6621" min="6621" style="47" width="12.42"/>
    <col collapsed="false" customWidth="true" hidden="false" outlineLevel="0" max="6622" min="6622" style="47" width="18.29"/>
    <col collapsed="false" customWidth="true" hidden="false" outlineLevel="0" max="6623" min="6623" style="47" width="1"/>
    <col collapsed="false" customWidth="true" hidden="false" outlineLevel="0" max="6624" min="6624" style="47" width="20.29"/>
    <col collapsed="false" customWidth="true" hidden="false" outlineLevel="0" max="6625" min="6625" style="47" width="10.71"/>
    <col collapsed="false" customWidth="true" hidden="false" outlineLevel="0" max="6626" min="6626" style="47" width="17.29"/>
    <col collapsed="false" customWidth="true" hidden="false" outlineLevel="0" max="6627" min="6627" style="47" width="4.14"/>
    <col collapsed="false" customWidth="false" hidden="false" outlineLevel="0" max="6866" min="6628" style="47" width="9.14"/>
    <col collapsed="false" customWidth="true" hidden="false" outlineLevel="0" max="6867" min="6867" style="47" width="1.71"/>
    <col collapsed="false" customWidth="true" hidden="false" outlineLevel="0" max="6868" min="6868" style="47" width="20.14"/>
    <col collapsed="false" customWidth="true" hidden="false" outlineLevel="0" max="6869" min="6869" style="47" width="12.42"/>
    <col collapsed="false" customWidth="true" hidden="false" outlineLevel="0" max="6870" min="6870" style="47" width="17.29"/>
    <col collapsed="false" customWidth="true" hidden="false" outlineLevel="0" max="6871" min="6871" style="47" width="1"/>
    <col collapsed="false" customWidth="true" hidden="false" outlineLevel="0" max="6872" min="6872" style="47" width="21.14"/>
    <col collapsed="false" customWidth="true" hidden="false" outlineLevel="0" max="6873" min="6873" style="47" width="10.71"/>
    <col collapsed="false" customWidth="true" hidden="false" outlineLevel="0" max="6874" min="6874" style="47" width="18.57"/>
    <col collapsed="false" customWidth="true" hidden="false" outlineLevel="0" max="6875" min="6875" style="47" width="1.29"/>
    <col collapsed="false" customWidth="true" hidden="false" outlineLevel="0" max="6876" min="6876" style="47" width="21.14"/>
    <col collapsed="false" customWidth="true" hidden="false" outlineLevel="0" max="6877" min="6877" style="47" width="12.42"/>
    <col collapsed="false" customWidth="true" hidden="false" outlineLevel="0" max="6878" min="6878" style="47" width="18.29"/>
    <col collapsed="false" customWidth="true" hidden="false" outlineLevel="0" max="6879" min="6879" style="47" width="1"/>
    <col collapsed="false" customWidth="true" hidden="false" outlineLevel="0" max="6880" min="6880" style="47" width="20.29"/>
    <col collapsed="false" customWidth="true" hidden="false" outlineLevel="0" max="6881" min="6881" style="47" width="10.71"/>
    <col collapsed="false" customWidth="true" hidden="false" outlineLevel="0" max="6882" min="6882" style="47" width="17.29"/>
    <col collapsed="false" customWidth="true" hidden="false" outlineLevel="0" max="6883" min="6883" style="47" width="4.14"/>
    <col collapsed="false" customWidth="false" hidden="false" outlineLevel="0" max="7122" min="6884" style="47" width="9.14"/>
    <col collapsed="false" customWidth="true" hidden="false" outlineLevel="0" max="7123" min="7123" style="47" width="1.71"/>
    <col collapsed="false" customWidth="true" hidden="false" outlineLevel="0" max="7124" min="7124" style="47" width="20.14"/>
    <col collapsed="false" customWidth="true" hidden="false" outlineLevel="0" max="7125" min="7125" style="47" width="12.42"/>
    <col collapsed="false" customWidth="true" hidden="false" outlineLevel="0" max="7126" min="7126" style="47" width="17.29"/>
    <col collapsed="false" customWidth="true" hidden="false" outlineLevel="0" max="7127" min="7127" style="47" width="1"/>
    <col collapsed="false" customWidth="true" hidden="false" outlineLevel="0" max="7128" min="7128" style="47" width="21.14"/>
    <col collapsed="false" customWidth="true" hidden="false" outlineLevel="0" max="7129" min="7129" style="47" width="10.71"/>
    <col collapsed="false" customWidth="true" hidden="false" outlineLevel="0" max="7130" min="7130" style="47" width="18.57"/>
    <col collapsed="false" customWidth="true" hidden="false" outlineLevel="0" max="7131" min="7131" style="47" width="1.29"/>
    <col collapsed="false" customWidth="true" hidden="false" outlineLevel="0" max="7132" min="7132" style="47" width="21.14"/>
    <col collapsed="false" customWidth="true" hidden="false" outlineLevel="0" max="7133" min="7133" style="47" width="12.42"/>
    <col collapsed="false" customWidth="true" hidden="false" outlineLevel="0" max="7134" min="7134" style="47" width="18.29"/>
    <col collapsed="false" customWidth="true" hidden="false" outlineLevel="0" max="7135" min="7135" style="47" width="1"/>
    <col collapsed="false" customWidth="true" hidden="false" outlineLevel="0" max="7136" min="7136" style="47" width="20.29"/>
    <col collapsed="false" customWidth="true" hidden="false" outlineLevel="0" max="7137" min="7137" style="47" width="10.71"/>
    <col collapsed="false" customWidth="true" hidden="false" outlineLevel="0" max="7138" min="7138" style="47" width="17.29"/>
    <col collapsed="false" customWidth="true" hidden="false" outlineLevel="0" max="7139" min="7139" style="47" width="4.14"/>
    <col collapsed="false" customWidth="false" hidden="false" outlineLevel="0" max="7378" min="7140" style="47" width="9.14"/>
    <col collapsed="false" customWidth="true" hidden="false" outlineLevel="0" max="7379" min="7379" style="47" width="1.71"/>
    <col collapsed="false" customWidth="true" hidden="false" outlineLevel="0" max="7380" min="7380" style="47" width="20.14"/>
    <col collapsed="false" customWidth="true" hidden="false" outlineLevel="0" max="7381" min="7381" style="47" width="12.42"/>
    <col collapsed="false" customWidth="true" hidden="false" outlineLevel="0" max="7382" min="7382" style="47" width="17.29"/>
    <col collapsed="false" customWidth="true" hidden="false" outlineLevel="0" max="7383" min="7383" style="47" width="1"/>
    <col collapsed="false" customWidth="true" hidden="false" outlineLevel="0" max="7384" min="7384" style="47" width="21.14"/>
    <col collapsed="false" customWidth="true" hidden="false" outlineLevel="0" max="7385" min="7385" style="47" width="10.71"/>
    <col collapsed="false" customWidth="true" hidden="false" outlineLevel="0" max="7386" min="7386" style="47" width="18.57"/>
    <col collapsed="false" customWidth="true" hidden="false" outlineLevel="0" max="7387" min="7387" style="47" width="1.29"/>
    <col collapsed="false" customWidth="true" hidden="false" outlineLevel="0" max="7388" min="7388" style="47" width="21.14"/>
    <col collapsed="false" customWidth="true" hidden="false" outlineLevel="0" max="7389" min="7389" style="47" width="12.42"/>
    <col collapsed="false" customWidth="true" hidden="false" outlineLevel="0" max="7390" min="7390" style="47" width="18.29"/>
    <col collapsed="false" customWidth="true" hidden="false" outlineLevel="0" max="7391" min="7391" style="47" width="1"/>
    <col collapsed="false" customWidth="true" hidden="false" outlineLevel="0" max="7392" min="7392" style="47" width="20.29"/>
    <col collapsed="false" customWidth="true" hidden="false" outlineLevel="0" max="7393" min="7393" style="47" width="10.71"/>
    <col collapsed="false" customWidth="true" hidden="false" outlineLevel="0" max="7394" min="7394" style="47" width="17.29"/>
    <col collapsed="false" customWidth="true" hidden="false" outlineLevel="0" max="7395" min="7395" style="47" width="4.14"/>
    <col collapsed="false" customWidth="false" hidden="false" outlineLevel="0" max="7634" min="7396" style="47" width="9.14"/>
    <col collapsed="false" customWidth="true" hidden="false" outlineLevel="0" max="7635" min="7635" style="47" width="1.71"/>
    <col collapsed="false" customWidth="true" hidden="false" outlineLevel="0" max="7636" min="7636" style="47" width="20.14"/>
    <col collapsed="false" customWidth="true" hidden="false" outlineLevel="0" max="7637" min="7637" style="47" width="12.42"/>
    <col collapsed="false" customWidth="true" hidden="false" outlineLevel="0" max="7638" min="7638" style="47" width="17.29"/>
    <col collapsed="false" customWidth="true" hidden="false" outlineLevel="0" max="7639" min="7639" style="47" width="1"/>
    <col collapsed="false" customWidth="true" hidden="false" outlineLevel="0" max="7640" min="7640" style="47" width="21.14"/>
    <col collapsed="false" customWidth="true" hidden="false" outlineLevel="0" max="7641" min="7641" style="47" width="10.71"/>
    <col collapsed="false" customWidth="true" hidden="false" outlineLevel="0" max="7642" min="7642" style="47" width="18.57"/>
    <col collapsed="false" customWidth="true" hidden="false" outlineLevel="0" max="7643" min="7643" style="47" width="1.29"/>
    <col collapsed="false" customWidth="true" hidden="false" outlineLevel="0" max="7644" min="7644" style="47" width="21.14"/>
    <col collapsed="false" customWidth="true" hidden="false" outlineLevel="0" max="7645" min="7645" style="47" width="12.42"/>
    <col collapsed="false" customWidth="true" hidden="false" outlineLevel="0" max="7646" min="7646" style="47" width="18.29"/>
    <col collapsed="false" customWidth="true" hidden="false" outlineLevel="0" max="7647" min="7647" style="47" width="1"/>
    <col collapsed="false" customWidth="true" hidden="false" outlineLevel="0" max="7648" min="7648" style="47" width="20.29"/>
    <col collapsed="false" customWidth="true" hidden="false" outlineLevel="0" max="7649" min="7649" style="47" width="10.71"/>
    <col collapsed="false" customWidth="true" hidden="false" outlineLevel="0" max="7650" min="7650" style="47" width="17.29"/>
    <col collapsed="false" customWidth="true" hidden="false" outlineLevel="0" max="7651" min="7651" style="47" width="4.14"/>
    <col collapsed="false" customWidth="false" hidden="false" outlineLevel="0" max="7890" min="7652" style="47" width="9.14"/>
    <col collapsed="false" customWidth="true" hidden="false" outlineLevel="0" max="7891" min="7891" style="47" width="1.71"/>
    <col collapsed="false" customWidth="true" hidden="false" outlineLevel="0" max="7892" min="7892" style="47" width="20.14"/>
    <col collapsed="false" customWidth="true" hidden="false" outlineLevel="0" max="7893" min="7893" style="47" width="12.42"/>
    <col collapsed="false" customWidth="true" hidden="false" outlineLevel="0" max="7894" min="7894" style="47" width="17.29"/>
    <col collapsed="false" customWidth="true" hidden="false" outlineLevel="0" max="7895" min="7895" style="47" width="1"/>
    <col collapsed="false" customWidth="true" hidden="false" outlineLevel="0" max="7896" min="7896" style="47" width="21.14"/>
    <col collapsed="false" customWidth="true" hidden="false" outlineLevel="0" max="7897" min="7897" style="47" width="10.71"/>
    <col collapsed="false" customWidth="true" hidden="false" outlineLevel="0" max="7898" min="7898" style="47" width="18.57"/>
    <col collapsed="false" customWidth="true" hidden="false" outlineLevel="0" max="7899" min="7899" style="47" width="1.29"/>
    <col collapsed="false" customWidth="true" hidden="false" outlineLevel="0" max="7900" min="7900" style="47" width="21.14"/>
    <col collapsed="false" customWidth="true" hidden="false" outlineLevel="0" max="7901" min="7901" style="47" width="12.42"/>
    <col collapsed="false" customWidth="true" hidden="false" outlineLevel="0" max="7902" min="7902" style="47" width="18.29"/>
    <col collapsed="false" customWidth="true" hidden="false" outlineLevel="0" max="7903" min="7903" style="47" width="1"/>
    <col collapsed="false" customWidth="true" hidden="false" outlineLevel="0" max="7904" min="7904" style="47" width="20.29"/>
    <col collapsed="false" customWidth="true" hidden="false" outlineLevel="0" max="7905" min="7905" style="47" width="10.71"/>
    <col collapsed="false" customWidth="true" hidden="false" outlineLevel="0" max="7906" min="7906" style="47" width="17.29"/>
    <col collapsed="false" customWidth="true" hidden="false" outlineLevel="0" max="7907" min="7907" style="47" width="4.14"/>
    <col collapsed="false" customWidth="false" hidden="false" outlineLevel="0" max="8146" min="7908" style="47" width="9.14"/>
    <col collapsed="false" customWidth="true" hidden="false" outlineLevel="0" max="8147" min="8147" style="47" width="1.71"/>
    <col collapsed="false" customWidth="true" hidden="false" outlineLevel="0" max="8148" min="8148" style="47" width="20.14"/>
    <col collapsed="false" customWidth="true" hidden="false" outlineLevel="0" max="8149" min="8149" style="47" width="12.42"/>
    <col collapsed="false" customWidth="true" hidden="false" outlineLevel="0" max="8150" min="8150" style="47" width="17.29"/>
    <col collapsed="false" customWidth="true" hidden="false" outlineLevel="0" max="8151" min="8151" style="47" width="1"/>
    <col collapsed="false" customWidth="true" hidden="false" outlineLevel="0" max="8152" min="8152" style="47" width="21.14"/>
    <col collapsed="false" customWidth="true" hidden="false" outlineLevel="0" max="8153" min="8153" style="47" width="10.71"/>
    <col collapsed="false" customWidth="true" hidden="false" outlineLevel="0" max="8154" min="8154" style="47" width="18.57"/>
    <col collapsed="false" customWidth="true" hidden="false" outlineLevel="0" max="8155" min="8155" style="47" width="1.29"/>
    <col collapsed="false" customWidth="true" hidden="false" outlineLevel="0" max="8156" min="8156" style="47" width="21.14"/>
    <col collapsed="false" customWidth="true" hidden="false" outlineLevel="0" max="8157" min="8157" style="47" width="12.42"/>
    <col collapsed="false" customWidth="true" hidden="false" outlineLevel="0" max="8158" min="8158" style="47" width="18.29"/>
    <col collapsed="false" customWidth="true" hidden="false" outlineLevel="0" max="8159" min="8159" style="47" width="1"/>
    <col collapsed="false" customWidth="true" hidden="false" outlineLevel="0" max="8160" min="8160" style="47" width="20.29"/>
    <col collapsed="false" customWidth="true" hidden="false" outlineLevel="0" max="8161" min="8161" style="47" width="10.71"/>
    <col collapsed="false" customWidth="true" hidden="false" outlineLevel="0" max="8162" min="8162" style="47" width="17.29"/>
    <col collapsed="false" customWidth="true" hidden="false" outlineLevel="0" max="8163" min="8163" style="47" width="4.14"/>
    <col collapsed="false" customWidth="false" hidden="false" outlineLevel="0" max="8402" min="8164" style="47" width="9.14"/>
    <col collapsed="false" customWidth="true" hidden="false" outlineLevel="0" max="8403" min="8403" style="47" width="1.71"/>
    <col collapsed="false" customWidth="true" hidden="false" outlineLevel="0" max="8404" min="8404" style="47" width="20.14"/>
    <col collapsed="false" customWidth="true" hidden="false" outlineLevel="0" max="8405" min="8405" style="47" width="12.42"/>
    <col collapsed="false" customWidth="true" hidden="false" outlineLevel="0" max="8406" min="8406" style="47" width="17.29"/>
    <col collapsed="false" customWidth="true" hidden="false" outlineLevel="0" max="8407" min="8407" style="47" width="1"/>
    <col collapsed="false" customWidth="true" hidden="false" outlineLevel="0" max="8408" min="8408" style="47" width="21.14"/>
    <col collapsed="false" customWidth="true" hidden="false" outlineLevel="0" max="8409" min="8409" style="47" width="10.71"/>
    <col collapsed="false" customWidth="true" hidden="false" outlineLevel="0" max="8410" min="8410" style="47" width="18.57"/>
    <col collapsed="false" customWidth="true" hidden="false" outlineLevel="0" max="8411" min="8411" style="47" width="1.29"/>
    <col collapsed="false" customWidth="true" hidden="false" outlineLevel="0" max="8412" min="8412" style="47" width="21.14"/>
    <col collapsed="false" customWidth="true" hidden="false" outlineLevel="0" max="8413" min="8413" style="47" width="12.42"/>
    <col collapsed="false" customWidth="true" hidden="false" outlineLevel="0" max="8414" min="8414" style="47" width="18.29"/>
    <col collapsed="false" customWidth="true" hidden="false" outlineLevel="0" max="8415" min="8415" style="47" width="1"/>
    <col collapsed="false" customWidth="true" hidden="false" outlineLevel="0" max="8416" min="8416" style="47" width="20.29"/>
    <col collapsed="false" customWidth="true" hidden="false" outlineLevel="0" max="8417" min="8417" style="47" width="10.71"/>
    <col collapsed="false" customWidth="true" hidden="false" outlineLevel="0" max="8418" min="8418" style="47" width="17.29"/>
    <col collapsed="false" customWidth="true" hidden="false" outlineLevel="0" max="8419" min="8419" style="47" width="4.14"/>
    <col collapsed="false" customWidth="false" hidden="false" outlineLevel="0" max="8658" min="8420" style="47" width="9.14"/>
    <col collapsed="false" customWidth="true" hidden="false" outlineLevel="0" max="8659" min="8659" style="47" width="1.71"/>
    <col collapsed="false" customWidth="true" hidden="false" outlineLevel="0" max="8660" min="8660" style="47" width="20.14"/>
    <col collapsed="false" customWidth="true" hidden="false" outlineLevel="0" max="8661" min="8661" style="47" width="12.42"/>
    <col collapsed="false" customWidth="true" hidden="false" outlineLevel="0" max="8662" min="8662" style="47" width="17.29"/>
    <col collapsed="false" customWidth="true" hidden="false" outlineLevel="0" max="8663" min="8663" style="47" width="1"/>
    <col collapsed="false" customWidth="true" hidden="false" outlineLevel="0" max="8664" min="8664" style="47" width="21.14"/>
    <col collapsed="false" customWidth="true" hidden="false" outlineLevel="0" max="8665" min="8665" style="47" width="10.71"/>
    <col collapsed="false" customWidth="true" hidden="false" outlineLevel="0" max="8666" min="8666" style="47" width="18.57"/>
    <col collapsed="false" customWidth="true" hidden="false" outlineLevel="0" max="8667" min="8667" style="47" width="1.29"/>
    <col collapsed="false" customWidth="true" hidden="false" outlineLevel="0" max="8668" min="8668" style="47" width="21.14"/>
    <col collapsed="false" customWidth="true" hidden="false" outlineLevel="0" max="8669" min="8669" style="47" width="12.42"/>
    <col collapsed="false" customWidth="true" hidden="false" outlineLevel="0" max="8670" min="8670" style="47" width="18.29"/>
    <col collapsed="false" customWidth="true" hidden="false" outlineLevel="0" max="8671" min="8671" style="47" width="1"/>
    <col collapsed="false" customWidth="true" hidden="false" outlineLevel="0" max="8672" min="8672" style="47" width="20.29"/>
    <col collapsed="false" customWidth="true" hidden="false" outlineLevel="0" max="8673" min="8673" style="47" width="10.71"/>
    <col collapsed="false" customWidth="true" hidden="false" outlineLevel="0" max="8674" min="8674" style="47" width="17.29"/>
    <col collapsed="false" customWidth="true" hidden="false" outlineLevel="0" max="8675" min="8675" style="47" width="4.14"/>
    <col collapsed="false" customWidth="false" hidden="false" outlineLevel="0" max="8914" min="8676" style="47" width="9.14"/>
    <col collapsed="false" customWidth="true" hidden="false" outlineLevel="0" max="8915" min="8915" style="47" width="1.71"/>
    <col collapsed="false" customWidth="true" hidden="false" outlineLevel="0" max="8916" min="8916" style="47" width="20.14"/>
    <col collapsed="false" customWidth="true" hidden="false" outlineLevel="0" max="8917" min="8917" style="47" width="12.42"/>
    <col collapsed="false" customWidth="true" hidden="false" outlineLevel="0" max="8918" min="8918" style="47" width="17.29"/>
    <col collapsed="false" customWidth="true" hidden="false" outlineLevel="0" max="8919" min="8919" style="47" width="1"/>
    <col collapsed="false" customWidth="true" hidden="false" outlineLevel="0" max="8920" min="8920" style="47" width="21.14"/>
    <col collapsed="false" customWidth="true" hidden="false" outlineLevel="0" max="8921" min="8921" style="47" width="10.71"/>
    <col collapsed="false" customWidth="true" hidden="false" outlineLevel="0" max="8922" min="8922" style="47" width="18.57"/>
    <col collapsed="false" customWidth="true" hidden="false" outlineLevel="0" max="8923" min="8923" style="47" width="1.29"/>
    <col collapsed="false" customWidth="true" hidden="false" outlineLevel="0" max="8924" min="8924" style="47" width="21.14"/>
    <col collapsed="false" customWidth="true" hidden="false" outlineLevel="0" max="8925" min="8925" style="47" width="12.42"/>
    <col collapsed="false" customWidth="true" hidden="false" outlineLevel="0" max="8926" min="8926" style="47" width="18.29"/>
    <col collapsed="false" customWidth="true" hidden="false" outlineLevel="0" max="8927" min="8927" style="47" width="1"/>
    <col collapsed="false" customWidth="true" hidden="false" outlineLevel="0" max="8928" min="8928" style="47" width="20.29"/>
    <col collapsed="false" customWidth="true" hidden="false" outlineLevel="0" max="8929" min="8929" style="47" width="10.71"/>
    <col collapsed="false" customWidth="true" hidden="false" outlineLevel="0" max="8930" min="8930" style="47" width="17.29"/>
    <col collapsed="false" customWidth="true" hidden="false" outlineLevel="0" max="8931" min="8931" style="47" width="4.14"/>
    <col collapsed="false" customWidth="false" hidden="false" outlineLevel="0" max="9170" min="8932" style="47" width="9.14"/>
    <col collapsed="false" customWidth="true" hidden="false" outlineLevel="0" max="9171" min="9171" style="47" width="1.71"/>
    <col collapsed="false" customWidth="true" hidden="false" outlineLevel="0" max="9172" min="9172" style="47" width="20.14"/>
    <col collapsed="false" customWidth="true" hidden="false" outlineLevel="0" max="9173" min="9173" style="47" width="12.42"/>
    <col collapsed="false" customWidth="true" hidden="false" outlineLevel="0" max="9174" min="9174" style="47" width="17.29"/>
    <col collapsed="false" customWidth="true" hidden="false" outlineLevel="0" max="9175" min="9175" style="47" width="1"/>
    <col collapsed="false" customWidth="true" hidden="false" outlineLevel="0" max="9176" min="9176" style="47" width="21.14"/>
    <col collapsed="false" customWidth="true" hidden="false" outlineLevel="0" max="9177" min="9177" style="47" width="10.71"/>
    <col collapsed="false" customWidth="true" hidden="false" outlineLevel="0" max="9178" min="9178" style="47" width="18.57"/>
    <col collapsed="false" customWidth="true" hidden="false" outlineLevel="0" max="9179" min="9179" style="47" width="1.29"/>
    <col collapsed="false" customWidth="true" hidden="false" outlineLevel="0" max="9180" min="9180" style="47" width="21.14"/>
    <col collapsed="false" customWidth="true" hidden="false" outlineLevel="0" max="9181" min="9181" style="47" width="12.42"/>
    <col collapsed="false" customWidth="true" hidden="false" outlineLevel="0" max="9182" min="9182" style="47" width="18.29"/>
    <col collapsed="false" customWidth="true" hidden="false" outlineLevel="0" max="9183" min="9183" style="47" width="1"/>
    <col collapsed="false" customWidth="true" hidden="false" outlineLevel="0" max="9184" min="9184" style="47" width="20.29"/>
    <col collapsed="false" customWidth="true" hidden="false" outlineLevel="0" max="9185" min="9185" style="47" width="10.71"/>
    <col collapsed="false" customWidth="true" hidden="false" outlineLevel="0" max="9186" min="9186" style="47" width="17.29"/>
    <col collapsed="false" customWidth="true" hidden="false" outlineLevel="0" max="9187" min="9187" style="47" width="4.14"/>
    <col collapsed="false" customWidth="false" hidden="false" outlineLevel="0" max="9426" min="9188" style="47" width="9.14"/>
    <col collapsed="false" customWidth="true" hidden="false" outlineLevel="0" max="9427" min="9427" style="47" width="1.71"/>
    <col collapsed="false" customWidth="true" hidden="false" outlineLevel="0" max="9428" min="9428" style="47" width="20.14"/>
    <col collapsed="false" customWidth="true" hidden="false" outlineLevel="0" max="9429" min="9429" style="47" width="12.42"/>
    <col collapsed="false" customWidth="true" hidden="false" outlineLevel="0" max="9430" min="9430" style="47" width="17.29"/>
    <col collapsed="false" customWidth="true" hidden="false" outlineLevel="0" max="9431" min="9431" style="47" width="1"/>
    <col collapsed="false" customWidth="true" hidden="false" outlineLevel="0" max="9432" min="9432" style="47" width="21.14"/>
    <col collapsed="false" customWidth="true" hidden="false" outlineLevel="0" max="9433" min="9433" style="47" width="10.71"/>
    <col collapsed="false" customWidth="true" hidden="false" outlineLevel="0" max="9434" min="9434" style="47" width="18.57"/>
    <col collapsed="false" customWidth="true" hidden="false" outlineLevel="0" max="9435" min="9435" style="47" width="1.29"/>
    <col collapsed="false" customWidth="true" hidden="false" outlineLevel="0" max="9436" min="9436" style="47" width="21.14"/>
    <col collapsed="false" customWidth="true" hidden="false" outlineLevel="0" max="9437" min="9437" style="47" width="12.42"/>
    <col collapsed="false" customWidth="true" hidden="false" outlineLevel="0" max="9438" min="9438" style="47" width="18.29"/>
    <col collapsed="false" customWidth="true" hidden="false" outlineLevel="0" max="9439" min="9439" style="47" width="1"/>
    <col collapsed="false" customWidth="true" hidden="false" outlineLevel="0" max="9440" min="9440" style="47" width="20.29"/>
    <col collapsed="false" customWidth="true" hidden="false" outlineLevel="0" max="9441" min="9441" style="47" width="10.71"/>
    <col collapsed="false" customWidth="true" hidden="false" outlineLevel="0" max="9442" min="9442" style="47" width="17.29"/>
    <col collapsed="false" customWidth="true" hidden="false" outlineLevel="0" max="9443" min="9443" style="47" width="4.14"/>
    <col collapsed="false" customWidth="false" hidden="false" outlineLevel="0" max="9682" min="9444" style="47" width="9.14"/>
    <col collapsed="false" customWidth="true" hidden="false" outlineLevel="0" max="9683" min="9683" style="47" width="1.71"/>
    <col collapsed="false" customWidth="true" hidden="false" outlineLevel="0" max="9684" min="9684" style="47" width="20.14"/>
    <col collapsed="false" customWidth="true" hidden="false" outlineLevel="0" max="9685" min="9685" style="47" width="12.42"/>
    <col collapsed="false" customWidth="true" hidden="false" outlineLevel="0" max="9686" min="9686" style="47" width="17.29"/>
    <col collapsed="false" customWidth="true" hidden="false" outlineLevel="0" max="9687" min="9687" style="47" width="1"/>
    <col collapsed="false" customWidth="true" hidden="false" outlineLevel="0" max="9688" min="9688" style="47" width="21.14"/>
    <col collapsed="false" customWidth="true" hidden="false" outlineLevel="0" max="9689" min="9689" style="47" width="10.71"/>
    <col collapsed="false" customWidth="true" hidden="false" outlineLevel="0" max="9690" min="9690" style="47" width="18.57"/>
    <col collapsed="false" customWidth="true" hidden="false" outlineLevel="0" max="9691" min="9691" style="47" width="1.29"/>
    <col collapsed="false" customWidth="true" hidden="false" outlineLevel="0" max="9692" min="9692" style="47" width="21.14"/>
    <col collapsed="false" customWidth="true" hidden="false" outlineLevel="0" max="9693" min="9693" style="47" width="12.42"/>
    <col collapsed="false" customWidth="true" hidden="false" outlineLevel="0" max="9694" min="9694" style="47" width="18.29"/>
    <col collapsed="false" customWidth="true" hidden="false" outlineLevel="0" max="9695" min="9695" style="47" width="1"/>
    <col collapsed="false" customWidth="true" hidden="false" outlineLevel="0" max="9696" min="9696" style="47" width="20.29"/>
    <col collapsed="false" customWidth="true" hidden="false" outlineLevel="0" max="9697" min="9697" style="47" width="10.71"/>
    <col collapsed="false" customWidth="true" hidden="false" outlineLevel="0" max="9698" min="9698" style="47" width="17.29"/>
    <col collapsed="false" customWidth="true" hidden="false" outlineLevel="0" max="9699" min="9699" style="47" width="4.14"/>
    <col collapsed="false" customWidth="false" hidden="false" outlineLevel="0" max="9938" min="9700" style="47" width="9.14"/>
    <col collapsed="false" customWidth="true" hidden="false" outlineLevel="0" max="9939" min="9939" style="47" width="1.71"/>
    <col collapsed="false" customWidth="true" hidden="false" outlineLevel="0" max="9940" min="9940" style="47" width="20.14"/>
    <col collapsed="false" customWidth="true" hidden="false" outlineLevel="0" max="9941" min="9941" style="47" width="12.42"/>
    <col collapsed="false" customWidth="true" hidden="false" outlineLevel="0" max="9942" min="9942" style="47" width="17.29"/>
    <col collapsed="false" customWidth="true" hidden="false" outlineLevel="0" max="9943" min="9943" style="47" width="1"/>
    <col collapsed="false" customWidth="true" hidden="false" outlineLevel="0" max="9944" min="9944" style="47" width="21.14"/>
    <col collapsed="false" customWidth="true" hidden="false" outlineLevel="0" max="9945" min="9945" style="47" width="10.71"/>
    <col collapsed="false" customWidth="true" hidden="false" outlineLevel="0" max="9946" min="9946" style="47" width="18.57"/>
    <col collapsed="false" customWidth="true" hidden="false" outlineLevel="0" max="9947" min="9947" style="47" width="1.29"/>
    <col collapsed="false" customWidth="true" hidden="false" outlineLevel="0" max="9948" min="9948" style="47" width="21.14"/>
    <col collapsed="false" customWidth="true" hidden="false" outlineLevel="0" max="9949" min="9949" style="47" width="12.42"/>
    <col collapsed="false" customWidth="true" hidden="false" outlineLevel="0" max="9950" min="9950" style="47" width="18.29"/>
    <col collapsed="false" customWidth="true" hidden="false" outlineLevel="0" max="9951" min="9951" style="47" width="1"/>
    <col collapsed="false" customWidth="true" hidden="false" outlineLevel="0" max="9952" min="9952" style="47" width="20.29"/>
    <col collapsed="false" customWidth="true" hidden="false" outlineLevel="0" max="9953" min="9953" style="47" width="10.71"/>
    <col collapsed="false" customWidth="true" hidden="false" outlineLevel="0" max="9954" min="9954" style="47" width="17.29"/>
    <col collapsed="false" customWidth="true" hidden="false" outlineLevel="0" max="9955" min="9955" style="47" width="4.14"/>
    <col collapsed="false" customWidth="false" hidden="false" outlineLevel="0" max="10194" min="9956" style="47" width="9.14"/>
    <col collapsed="false" customWidth="true" hidden="false" outlineLevel="0" max="10195" min="10195" style="47" width="1.71"/>
    <col collapsed="false" customWidth="true" hidden="false" outlineLevel="0" max="10196" min="10196" style="47" width="20.14"/>
    <col collapsed="false" customWidth="true" hidden="false" outlineLevel="0" max="10197" min="10197" style="47" width="12.42"/>
    <col collapsed="false" customWidth="true" hidden="false" outlineLevel="0" max="10198" min="10198" style="47" width="17.29"/>
    <col collapsed="false" customWidth="true" hidden="false" outlineLevel="0" max="10199" min="10199" style="47" width="1"/>
    <col collapsed="false" customWidth="true" hidden="false" outlineLevel="0" max="10200" min="10200" style="47" width="21.14"/>
    <col collapsed="false" customWidth="true" hidden="false" outlineLevel="0" max="10201" min="10201" style="47" width="10.71"/>
    <col collapsed="false" customWidth="true" hidden="false" outlineLevel="0" max="10202" min="10202" style="47" width="18.57"/>
    <col collapsed="false" customWidth="true" hidden="false" outlineLevel="0" max="10203" min="10203" style="47" width="1.29"/>
    <col collapsed="false" customWidth="true" hidden="false" outlineLevel="0" max="10204" min="10204" style="47" width="21.14"/>
    <col collapsed="false" customWidth="true" hidden="false" outlineLevel="0" max="10205" min="10205" style="47" width="12.42"/>
    <col collapsed="false" customWidth="true" hidden="false" outlineLevel="0" max="10206" min="10206" style="47" width="18.29"/>
    <col collapsed="false" customWidth="true" hidden="false" outlineLevel="0" max="10207" min="10207" style="47" width="1"/>
    <col collapsed="false" customWidth="true" hidden="false" outlineLevel="0" max="10208" min="10208" style="47" width="20.29"/>
    <col collapsed="false" customWidth="true" hidden="false" outlineLevel="0" max="10209" min="10209" style="47" width="10.71"/>
    <col collapsed="false" customWidth="true" hidden="false" outlineLevel="0" max="10210" min="10210" style="47" width="17.29"/>
    <col collapsed="false" customWidth="true" hidden="false" outlineLevel="0" max="10211" min="10211" style="47" width="4.14"/>
    <col collapsed="false" customWidth="false" hidden="false" outlineLevel="0" max="10450" min="10212" style="47" width="9.14"/>
    <col collapsed="false" customWidth="true" hidden="false" outlineLevel="0" max="10451" min="10451" style="47" width="1.71"/>
    <col collapsed="false" customWidth="true" hidden="false" outlineLevel="0" max="10452" min="10452" style="47" width="20.14"/>
    <col collapsed="false" customWidth="true" hidden="false" outlineLevel="0" max="10453" min="10453" style="47" width="12.42"/>
    <col collapsed="false" customWidth="true" hidden="false" outlineLevel="0" max="10454" min="10454" style="47" width="17.29"/>
    <col collapsed="false" customWidth="true" hidden="false" outlineLevel="0" max="10455" min="10455" style="47" width="1"/>
    <col collapsed="false" customWidth="true" hidden="false" outlineLevel="0" max="10456" min="10456" style="47" width="21.14"/>
    <col collapsed="false" customWidth="true" hidden="false" outlineLevel="0" max="10457" min="10457" style="47" width="10.71"/>
    <col collapsed="false" customWidth="true" hidden="false" outlineLevel="0" max="10458" min="10458" style="47" width="18.57"/>
    <col collapsed="false" customWidth="true" hidden="false" outlineLevel="0" max="10459" min="10459" style="47" width="1.29"/>
    <col collapsed="false" customWidth="true" hidden="false" outlineLevel="0" max="10460" min="10460" style="47" width="21.14"/>
    <col collapsed="false" customWidth="true" hidden="false" outlineLevel="0" max="10461" min="10461" style="47" width="12.42"/>
    <col collapsed="false" customWidth="true" hidden="false" outlineLevel="0" max="10462" min="10462" style="47" width="18.29"/>
    <col collapsed="false" customWidth="true" hidden="false" outlineLevel="0" max="10463" min="10463" style="47" width="1"/>
    <col collapsed="false" customWidth="true" hidden="false" outlineLevel="0" max="10464" min="10464" style="47" width="20.29"/>
    <col collapsed="false" customWidth="true" hidden="false" outlineLevel="0" max="10465" min="10465" style="47" width="10.71"/>
    <col collapsed="false" customWidth="true" hidden="false" outlineLevel="0" max="10466" min="10466" style="47" width="17.29"/>
    <col collapsed="false" customWidth="true" hidden="false" outlineLevel="0" max="10467" min="10467" style="47" width="4.14"/>
    <col collapsed="false" customWidth="false" hidden="false" outlineLevel="0" max="10706" min="10468" style="47" width="9.14"/>
    <col collapsed="false" customWidth="true" hidden="false" outlineLevel="0" max="10707" min="10707" style="47" width="1.71"/>
    <col collapsed="false" customWidth="true" hidden="false" outlineLevel="0" max="10708" min="10708" style="47" width="20.14"/>
    <col collapsed="false" customWidth="true" hidden="false" outlineLevel="0" max="10709" min="10709" style="47" width="12.42"/>
    <col collapsed="false" customWidth="true" hidden="false" outlineLevel="0" max="10710" min="10710" style="47" width="17.29"/>
    <col collapsed="false" customWidth="true" hidden="false" outlineLevel="0" max="10711" min="10711" style="47" width="1"/>
    <col collapsed="false" customWidth="true" hidden="false" outlineLevel="0" max="10712" min="10712" style="47" width="21.14"/>
    <col collapsed="false" customWidth="true" hidden="false" outlineLevel="0" max="10713" min="10713" style="47" width="10.71"/>
    <col collapsed="false" customWidth="true" hidden="false" outlineLevel="0" max="10714" min="10714" style="47" width="18.57"/>
    <col collapsed="false" customWidth="true" hidden="false" outlineLevel="0" max="10715" min="10715" style="47" width="1.29"/>
    <col collapsed="false" customWidth="true" hidden="false" outlineLevel="0" max="10716" min="10716" style="47" width="21.14"/>
    <col collapsed="false" customWidth="true" hidden="false" outlineLevel="0" max="10717" min="10717" style="47" width="12.42"/>
    <col collapsed="false" customWidth="true" hidden="false" outlineLevel="0" max="10718" min="10718" style="47" width="18.29"/>
    <col collapsed="false" customWidth="true" hidden="false" outlineLevel="0" max="10719" min="10719" style="47" width="1"/>
    <col collapsed="false" customWidth="true" hidden="false" outlineLevel="0" max="10720" min="10720" style="47" width="20.29"/>
    <col collapsed="false" customWidth="true" hidden="false" outlineLevel="0" max="10721" min="10721" style="47" width="10.71"/>
    <col collapsed="false" customWidth="true" hidden="false" outlineLevel="0" max="10722" min="10722" style="47" width="17.29"/>
    <col collapsed="false" customWidth="true" hidden="false" outlineLevel="0" max="10723" min="10723" style="47" width="4.14"/>
    <col collapsed="false" customWidth="false" hidden="false" outlineLevel="0" max="10962" min="10724" style="47" width="9.14"/>
    <col collapsed="false" customWidth="true" hidden="false" outlineLevel="0" max="10963" min="10963" style="47" width="1.71"/>
    <col collapsed="false" customWidth="true" hidden="false" outlineLevel="0" max="10964" min="10964" style="47" width="20.14"/>
    <col collapsed="false" customWidth="true" hidden="false" outlineLevel="0" max="10965" min="10965" style="47" width="12.42"/>
    <col collapsed="false" customWidth="true" hidden="false" outlineLevel="0" max="10966" min="10966" style="47" width="17.29"/>
    <col collapsed="false" customWidth="true" hidden="false" outlineLevel="0" max="10967" min="10967" style="47" width="1"/>
    <col collapsed="false" customWidth="true" hidden="false" outlineLevel="0" max="10968" min="10968" style="47" width="21.14"/>
    <col collapsed="false" customWidth="true" hidden="false" outlineLevel="0" max="10969" min="10969" style="47" width="10.71"/>
    <col collapsed="false" customWidth="true" hidden="false" outlineLevel="0" max="10970" min="10970" style="47" width="18.57"/>
    <col collapsed="false" customWidth="true" hidden="false" outlineLevel="0" max="10971" min="10971" style="47" width="1.29"/>
    <col collapsed="false" customWidth="true" hidden="false" outlineLevel="0" max="10972" min="10972" style="47" width="21.14"/>
    <col collapsed="false" customWidth="true" hidden="false" outlineLevel="0" max="10973" min="10973" style="47" width="12.42"/>
    <col collapsed="false" customWidth="true" hidden="false" outlineLevel="0" max="10974" min="10974" style="47" width="18.29"/>
    <col collapsed="false" customWidth="true" hidden="false" outlineLevel="0" max="10975" min="10975" style="47" width="1"/>
    <col collapsed="false" customWidth="true" hidden="false" outlineLevel="0" max="10976" min="10976" style="47" width="20.29"/>
    <col collapsed="false" customWidth="true" hidden="false" outlineLevel="0" max="10977" min="10977" style="47" width="10.71"/>
    <col collapsed="false" customWidth="true" hidden="false" outlineLevel="0" max="10978" min="10978" style="47" width="17.29"/>
    <col collapsed="false" customWidth="true" hidden="false" outlineLevel="0" max="10979" min="10979" style="47" width="4.14"/>
    <col collapsed="false" customWidth="false" hidden="false" outlineLevel="0" max="11218" min="10980" style="47" width="9.14"/>
    <col collapsed="false" customWidth="true" hidden="false" outlineLevel="0" max="11219" min="11219" style="47" width="1.71"/>
    <col collapsed="false" customWidth="true" hidden="false" outlineLevel="0" max="11220" min="11220" style="47" width="20.14"/>
    <col collapsed="false" customWidth="true" hidden="false" outlineLevel="0" max="11221" min="11221" style="47" width="12.42"/>
    <col collapsed="false" customWidth="true" hidden="false" outlineLevel="0" max="11222" min="11222" style="47" width="17.29"/>
    <col collapsed="false" customWidth="true" hidden="false" outlineLevel="0" max="11223" min="11223" style="47" width="1"/>
    <col collapsed="false" customWidth="true" hidden="false" outlineLevel="0" max="11224" min="11224" style="47" width="21.14"/>
    <col collapsed="false" customWidth="true" hidden="false" outlineLevel="0" max="11225" min="11225" style="47" width="10.71"/>
    <col collapsed="false" customWidth="true" hidden="false" outlineLevel="0" max="11226" min="11226" style="47" width="18.57"/>
    <col collapsed="false" customWidth="true" hidden="false" outlineLevel="0" max="11227" min="11227" style="47" width="1.29"/>
    <col collapsed="false" customWidth="true" hidden="false" outlineLevel="0" max="11228" min="11228" style="47" width="21.14"/>
    <col collapsed="false" customWidth="true" hidden="false" outlineLevel="0" max="11229" min="11229" style="47" width="12.42"/>
    <col collapsed="false" customWidth="true" hidden="false" outlineLevel="0" max="11230" min="11230" style="47" width="18.29"/>
    <col collapsed="false" customWidth="true" hidden="false" outlineLevel="0" max="11231" min="11231" style="47" width="1"/>
    <col collapsed="false" customWidth="true" hidden="false" outlineLevel="0" max="11232" min="11232" style="47" width="20.29"/>
    <col collapsed="false" customWidth="true" hidden="false" outlineLevel="0" max="11233" min="11233" style="47" width="10.71"/>
    <col collapsed="false" customWidth="true" hidden="false" outlineLevel="0" max="11234" min="11234" style="47" width="17.29"/>
    <col collapsed="false" customWidth="true" hidden="false" outlineLevel="0" max="11235" min="11235" style="47" width="4.14"/>
    <col collapsed="false" customWidth="false" hidden="false" outlineLevel="0" max="11474" min="11236" style="47" width="9.14"/>
    <col collapsed="false" customWidth="true" hidden="false" outlineLevel="0" max="11475" min="11475" style="47" width="1.71"/>
    <col collapsed="false" customWidth="true" hidden="false" outlineLevel="0" max="11476" min="11476" style="47" width="20.14"/>
    <col collapsed="false" customWidth="true" hidden="false" outlineLevel="0" max="11477" min="11477" style="47" width="12.42"/>
    <col collapsed="false" customWidth="true" hidden="false" outlineLevel="0" max="11478" min="11478" style="47" width="17.29"/>
    <col collapsed="false" customWidth="true" hidden="false" outlineLevel="0" max="11479" min="11479" style="47" width="1"/>
    <col collapsed="false" customWidth="true" hidden="false" outlineLevel="0" max="11480" min="11480" style="47" width="21.14"/>
    <col collapsed="false" customWidth="true" hidden="false" outlineLevel="0" max="11481" min="11481" style="47" width="10.71"/>
    <col collapsed="false" customWidth="true" hidden="false" outlineLevel="0" max="11482" min="11482" style="47" width="18.57"/>
    <col collapsed="false" customWidth="true" hidden="false" outlineLevel="0" max="11483" min="11483" style="47" width="1.29"/>
    <col collapsed="false" customWidth="true" hidden="false" outlineLevel="0" max="11484" min="11484" style="47" width="21.14"/>
    <col collapsed="false" customWidth="true" hidden="false" outlineLevel="0" max="11485" min="11485" style="47" width="12.42"/>
    <col collapsed="false" customWidth="true" hidden="false" outlineLevel="0" max="11486" min="11486" style="47" width="18.29"/>
    <col collapsed="false" customWidth="true" hidden="false" outlineLevel="0" max="11487" min="11487" style="47" width="1"/>
    <col collapsed="false" customWidth="true" hidden="false" outlineLevel="0" max="11488" min="11488" style="47" width="20.29"/>
    <col collapsed="false" customWidth="true" hidden="false" outlineLevel="0" max="11489" min="11489" style="47" width="10.71"/>
    <col collapsed="false" customWidth="true" hidden="false" outlineLevel="0" max="11490" min="11490" style="47" width="17.29"/>
    <col collapsed="false" customWidth="true" hidden="false" outlineLevel="0" max="11491" min="11491" style="47" width="4.14"/>
    <col collapsed="false" customWidth="false" hidden="false" outlineLevel="0" max="11730" min="11492" style="47" width="9.14"/>
    <col collapsed="false" customWidth="true" hidden="false" outlineLevel="0" max="11731" min="11731" style="47" width="1.71"/>
    <col collapsed="false" customWidth="true" hidden="false" outlineLevel="0" max="11732" min="11732" style="47" width="20.14"/>
    <col collapsed="false" customWidth="true" hidden="false" outlineLevel="0" max="11733" min="11733" style="47" width="12.42"/>
    <col collapsed="false" customWidth="true" hidden="false" outlineLevel="0" max="11734" min="11734" style="47" width="17.29"/>
    <col collapsed="false" customWidth="true" hidden="false" outlineLevel="0" max="11735" min="11735" style="47" width="1"/>
    <col collapsed="false" customWidth="true" hidden="false" outlineLevel="0" max="11736" min="11736" style="47" width="21.14"/>
    <col collapsed="false" customWidth="true" hidden="false" outlineLevel="0" max="11737" min="11737" style="47" width="10.71"/>
    <col collapsed="false" customWidth="true" hidden="false" outlineLevel="0" max="11738" min="11738" style="47" width="18.57"/>
    <col collapsed="false" customWidth="true" hidden="false" outlineLevel="0" max="11739" min="11739" style="47" width="1.29"/>
    <col collapsed="false" customWidth="true" hidden="false" outlineLevel="0" max="11740" min="11740" style="47" width="21.14"/>
    <col collapsed="false" customWidth="true" hidden="false" outlineLevel="0" max="11741" min="11741" style="47" width="12.42"/>
    <col collapsed="false" customWidth="true" hidden="false" outlineLevel="0" max="11742" min="11742" style="47" width="18.29"/>
    <col collapsed="false" customWidth="true" hidden="false" outlineLevel="0" max="11743" min="11743" style="47" width="1"/>
    <col collapsed="false" customWidth="true" hidden="false" outlineLevel="0" max="11744" min="11744" style="47" width="20.29"/>
    <col collapsed="false" customWidth="true" hidden="false" outlineLevel="0" max="11745" min="11745" style="47" width="10.71"/>
    <col collapsed="false" customWidth="true" hidden="false" outlineLevel="0" max="11746" min="11746" style="47" width="17.29"/>
    <col collapsed="false" customWidth="true" hidden="false" outlineLevel="0" max="11747" min="11747" style="47" width="4.14"/>
    <col collapsed="false" customWidth="false" hidden="false" outlineLevel="0" max="11986" min="11748" style="47" width="9.14"/>
    <col collapsed="false" customWidth="true" hidden="false" outlineLevel="0" max="11987" min="11987" style="47" width="1.71"/>
    <col collapsed="false" customWidth="true" hidden="false" outlineLevel="0" max="11988" min="11988" style="47" width="20.14"/>
    <col collapsed="false" customWidth="true" hidden="false" outlineLevel="0" max="11989" min="11989" style="47" width="12.42"/>
    <col collapsed="false" customWidth="true" hidden="false" outlineLevel="0" max="11990" min="11990" style="47" width="17.29"/>
    <col collapsed="false" customWidth="true" hidden="false" outlineLevel="0" max="11991" min="11991" style="47" width="1"/>
    <col collapsed="false" customWidth="true" hidden="false" outlineLevel="0" max="11992" min="11992" style="47" width="21.14"/>
    <col collapsed="false" customWidth="true" hidden="false" outlineLevel="0" max="11993" min="11993" style="47" width="10.71"/>
    <col collapsed="false" customWidth="true" hidden="false" outlineLevel="0" max="11994" min="11994" style="47" width="18.57"/>
    <col collapsed="false" customWidth="true" hidden="false" outlineLevel="0" max="11995" min="11995" style="47" width="1.29"/>
    <col collapsed="false" customWidth="true" hidden="false" outlineLevel="0" max="11996" min="11996" style="47" width="21.14"/>
    <col collapsed="false" customWidth="true" hidden="false" outlineLevel="0" max="11997" min="11997" style="47" width="12.42"/>
    <col collapsed="false" customWidth="true" hidden="false" outlineLevel="0" max="11998" min="11998" style="47" width="18.29"/>
    <col collapsed="false" customWidth="true" hidden="false" outlineLevel="0" max="11999" min="11999" style="47" width="1"/>
    <col collapsed="false" customWidth="true" hidden="false" outlineLevel="0" max="12000" min="12000" style="47" width="20.29"/>
    <col collapsed="false" customWidth="true" hidden="false" outlineLevel="0" max="12001" min="12001" style="47" width="10.71"/>
    <col collapsed="false" customWidth="true" hidden="false" outlineLevel="0" max="12002" min="12002" style="47" width="17.29"/>
    <col collapsed="false" customWidth="true" hidden="false" outlineLevel="0" max="12003" min="12003" style="47" width="4.14"/>
    <col collapsed="false" customWidth="false" hidden="false" outlineLevel="0" max="12242" min="12004" style="47" width="9.14"/>
    <col collapsed="false" customWidth="true" hidden="false" outlineLevel="0" max="12243" min="12243" style="47" width="1.71"/>
    <col collapsed="false" customWidth="true" hidden="false" outlineLevel="0" max="12244" min="12244" style="47" width="20.14"/>
    <col collapsed="false" customWidth="true" hidden="false" outlineLevel="0" max="12245" min="12245" style="47" width="12.42"/>
    <col collapsed="false" customWidth="true" hidden="false" outlineLevel="0" max="12246" min="12246" style="47" width="17.29"/>
    <col collapsed="false" customWidth="true" hidden="false" outlineLevel="0" max="12247" min="12247" style="47" width="1"/>
    <col collapsed="false" customWidth="true" hidden="false" outlineLevel="0" max="12248" min="12248" style="47" width="21.14"/>
    <col collapsed="false" customWidth="true" hidden="false" outlineLevel="0" max="12249" min="12249" style="47" width="10.71"/>
    <col collapsed="false" customWidth="true" hidden="false" outlineLevel="0" max="12250" min="12250" style="47" width="18.57"/>
    <col collapsed="false" customWidth="true" hidden="false" outlineLevel="0" max="12251" min="12251" style="47" width="1.29"/>
    <col collapsed="false" customWidth="true" hidden="false" outlineLevel="0" max="12252" min="12252" style="47" width="21.14"/>
    <col collapsed="false" customWidth="true" hidden="false" outlineLevel="0" max="12253" min="12253" style="47" width="12.42"/>
    <col collapsed="false" customWidth="true" hidden="false" outlineLevel="0" max="12254" min="12254" style="47" width="18.29"/>
    <col collapsed="false" customWidth="true" hidden="false" outlineLevel="0" max="12255" min="12255" style="47" width="1"/>
    <col collapsed="false" customWidth="true" hidden="false" outlineLevel="0" max="12256" min="12256" style="47" width="20.29"/>
    <col collapsed="false" customWidth="true" hidden="false" outlineLevel="0" max="12257" min="12257" style="47" width="10.71"/>
    <col collapsed="false" customWidth="true" hidden="false" outlineLevel="0" max="12258" min="12258" style="47" width="17.29"/>
    <col collapsed="false" customWidth="true" hidden="false" outlineLevel="0" max="12259" min="12259" style="47" width="4.14"/>
    <col collapsed="false" customWidth="false" hidden="false" outlineLevel="0" max="12498" min="12260" style="47" width="9.14"/>
    <col collapsed="false" customWidth="true" hidden="false" outlineLevel="0" max="12499" min="12499" style="47" width="1.71"/>
    <col collapsed="false" customWidth="true" hidden="false" outlineLevel="0" max="12500" min="12500" style="47" width="20.14"/>
    <col collapsed="false" customWidth="true" hidden="false" outlineLevel="0" max="12501" min="12501" style="47" width="12.42"/>
    <col collapsed="false" customWidth="true" hidden="false" outlineLevel="0" max="12502" min="12502" style="47" width="17.29"/>
    <col collapsed="false" customWidth="true" hidden="false" outlineLevel="0" max="12503" min="12503" style="47" width="1"/>
    <col collapsed="false" customWidth="true" hidden="false" outlineLevel="0" max="12504" min="12504" style="47" width="21.14"/>
    <col collapsed="false" customWidth="true" hidden="false" outlineLevel="0" max="12505" min="12505" style="47" width="10.71"/>
    <col collapsed="false" customWidth="true" hidden="false" outlineLevel="0" max="12506" min="12506" style="47" width="18.57"/>
    <col collapsed="false" customWidth="true" hidden="false" outlineLevel="0" max="12507" min="12507" style="47" width="1.29"/>
    <col collapsed="false" customWidth="true" hidden="false" outlineLevel="0" max="12508" min="12508" style="47" width="21.14"/>
    <col collapsed="false" customWidth="true" hidden="false" outlineLevel="0" max="12509" min="12509" style="47" width="12.42"/>
    <col collapsed="false" customWidth="true" hidden="false" outlineLevel="0" max="12510" min="12510" style="47" width="18.29"/>
    <col collapsed="false" customWidth="true" hidden="false" outlineLevel="0" max="12511" min="12511" style="47" width="1"/>
    <col collapsed="false" customWidth="true" hidden="false" outlineLevel="0" max="12512" min="12512" style="47" width="20.29"/>
    <col collapsed="false" customWidth="true" hidden="false" outlineLevel="0" max="12513" min="12513" style="47" width="10.71"/>
    <col collapsed="false" customWidth="true" hidden="false" outlineLevel="0" max="12514" min="12514" style="47" width="17.29"/>
    <col collapsed="false" customWidth="true" hidden="false" outlineLevel="0" max="12515" min="12515" style="47" width="4.14"/>
    <col collapsed="false" customWidth="false" hidden="false" outlineLevel="0" max="12754" min="12516" style="47" width="9.14"/>
    <col collapsed="false" customWidth="true" hidden="false" outlineLevel="0" max="12755" min="12755" style="47" width="1.71"/>
    <col collapsed="false" customWidth="true" hidden="false" outlineLevel="0" max="12756" min="12756" style="47" width="20.14"/>
    <col collapsed="false" customWidth="true" hidden="false" outlineLevel="0" max="12757" min="12757" style="47" width="12.42"/>
    <col collapsed="false" customWidth="true" hidden="false" outlineLevel="0" max="12758" min="12758" style="47" width="17.29"/>
    <col collapsed="false" customWidth="true" hidden="false" outlineLevel="0" max="12759" min="12759" style="47" width="1"/>
    <col collapsed="false" customWidth="true" hidden="false" outlineLevel="0" max="12760" min="12760" style="47" width="21.14"/>
    <col collapsed="false" customWidth="true" hidden="false" outlineLevel="0" max="12761" min="12761" style="47" width="10.71"/>
    <col collapsed="false" customWidth="true" hidden="false" outlineLevel="0" max="12762" min="12762" style="47" width="18.57"/>
    <col collapsed="false" customWidth="true" hidden="false" outlineLevel="0" max="12763" min="12763" style="47" width="1.29"/>
    <col collapsed="false" customWidth="true" hidden="false" outlineLevel="0" max="12764" min="12764" style="47" width="21.14"/>
    <col collapsed="false" customWidth="true" hidden="false" outlineLevel="0" max="12765" min="12765" style="47" width="12.42"/>
    <col collapsed="false" customWidth="true" hidden="false" outlineLevel="0" max="12766" min="12766" style="47" width="18.29"/>
    <col collapsed="false" customWidth="true" hidden="false" outlineLevel="0" max="12767" min="12767" style="47" width="1"/>
    <col collapsed="false" customWidth="true" hidden="false" outlineLevel="0" max="12768" min="12768" style="47" width="20.29"/>
    <col collapsed="false" customWidth="true" hidden="false" outlineLevel="0" max="12769" min="12769" style="47" width="10.71"/>
    <col collapsed="false" customWidth="true" hidden="false" outlineLevel="0" max="12770" min="12770" style="47" width="17.29"/>
    <col collapsed="false" customWidth="true" hidden="false" outlineLevel="0" max="12771" min="12771" style="47" width="4.14"/>
    <col collapsed="false" customWidth="false" hidden="false" outlineLevel="0" max="13010" min="12772" style="47" width="9.14"/>
    <col collapsed="false" customWidth="true" hidden="false" outlineLevel="0" max="13011" min="13011" style="47" width="1.71"/>
    <col collapsed="false" customWidth="true" hidden="false" outlineLevel="0" max="13012" min="13012" style="47" width="20.14"/>
    <col collapsed="false" customWidth="true" hidden="false" outlineLevel="0" max="13013" min="13013" style="47" width="12.42"/>
    <col collapsed="false" customWidth="true" hidden="false" outlineLevel="0" max="13014" min="13014" style="47" width="17.29"/>
    <col collapsed="false" customWidth="true" hidden="false" outlineLevel="0" max="13015" min="13015" style="47" width="1"/>
    <col collapsed="false" customWidth="true" hidden="false" outlineLevel="0" max="13016" min="13016" style="47" width="21.14"/>
    <col collapsed="false" customWidth="true" hidden="false" outlineLevel="0" max="13017" min="13017" style="47" width="10.71"/>
    <col collapsed="false" customWidth="true" hidden="false" outlineLevel="0" max="13018" min="13018" style="47" width="18.57"/>
    <col collapsed="false" customWidth="true" hidden="false" outlineLevel="0" max="13019" min="13019" style="47" width="1.29"/>
    <col collapsed="false" customWidth="true" hidden="false" outlineLevel="0" max="13020" min="13020" style="47" width="21.14"/>
    <col collapsed="false" customWidth="true" hidden="false" outlineLevel="0" max="13021" min="13021" style="47" width="12.42"/>
    <col collapsed="false" customWidth="true" hidden="false" outlineLevel="0" max="13022" min="13022" style="47" width="18.29"/>
    <col collapsed="false" customWidth="true" hidden="false" outlineLevel="0" max="13023" min="13023" style="47" width="1"/>
    <col collapsed="false" customWidth="true" hidden="false" outlineLevel="0" max="13024" min="13024" style="47" width="20.29"/>
    <col collapsed="false" customWidth="true" hidden="false" outlineLevel="0" max="13025" min="13025" style="47" width="10.71"/>
    <col collapsed="false" customWidth="true" hidden="false" outlineLevel="0" max="13026" min="13026" style="47" width="17.29"/>
    <col collapsed="false" customWidth="true" hidden="false" outlineLevel="0" max="13027" min="13027" style="47" width="4.14"/>
    <col collapsed="false" customWidth="false" hidden="false" outlineLevel="0" max="13266" min="13028" style="47" width="9.14"/>
    <col collapsed="false" customWidth="true" hidden="false" outlineLevel="0" max="13267" min="13267" style="47" width="1.71"/>
    <col collapsed="false" customWidth="true" hidden="false" outlineLevel="0" max="13268" min="13268" style="47" width="20.14"/>
    <col collapsed="false" customWidth="true" hidden="false" outlineLevel="0" max="13269" min="13269" style="47" width="12.42"/>
    <col collapsed="false" customWidth="true" hidden="false" outlineLevel="0" max="13270" min="13270" style="47" width="17.29"/>
    <col collapsed="false" customWidth="true" hidden="false" outlineLevel="0" max="13271" min="13271" style="47" width="1"/>
    <col collapsed="false" customWidth="true" hidden="false" outlineLevel="0" max="13272" min="13272" style="47" width="21.14"/>
    <col collapsed="false" customWidth="true" hidden="false" outlineLevel="0" max="13273" min="13273" style="47" width="10.71"/>
    <col collapsed="false" customWidth="true" hidden="false" outlineLevel="0" max="13274" min="13274" style="47" width="18.57"/>
    <col collapsed="false" customWidth="true" hidden="false" outlineLevel="0" max="13275" min="13275" style="47" width="1.29"/>
    <col collapsed="false" customWidth="true" hidden="false" outlineLevel="0" max="13276" min="13276" style="47" width="21.14"/>
    <col collapsed="false" customWidth="true" hidden="false" outlineLevel="0" max="13277" min="13277" style="47" width="12.42"/>
    <col collapsed="false" customWidth="true" hidden="false" outlineLevel="0" max="13278" min="13278" style="47" width="18.29"/>
    <col collapsed="false" customWidth="true" hidden="false" outlineLevel="0" max="13279" min="13279" style="47" width="1"/>
    <col collapsed="false" customWidth="true" hidden="false" outlineLevel="0" max="13280" min="13280" style="47" width="20.29"/>
    <col collapsed="false" customWidth="true" hidden="false" outlineLevel="0" max="13281" min="13281" style="47" width="10.71"/>
    <col collapsed="false" customWidth="true" hidden="false" outlineLevel="0" max="13282" min="13282" style="47" width="17.29"/>
    <col collapsed="false" customWidth="true" hidden="false" outlineLevel="0" max="13283" min="13283" style="47" width="4.14"/>
    <col collapsed="false" customWidth="false" hidden="false" outlineLevel="0" max="13522" min="13284" style="47" width="9.14"/>
    <col collapsed="false" customWidth="true" hidden="false" outlineLevel="0" max="13523" min="13523" style="47" width="1.71"/>
    <col collapsed="false" customWidth="true" hidden="false" outlineLevel="0" max="13524" min="13524" style="47" width="20.14"/>
    <col collapsed="false" customWidth="true" hidden="false" outlineLevel="0" max="13525" min="13525" style="47" width="12.42"/>
    <col collapsed="false" customWidth="true" hidden="false" outlineLevel="0" max="13526" min="13526" style="47" width="17.29"/>
    <col collapsed="false" customWidth="true" hidden="false" outlineLevel="0" max="13527" min="13527" style="47" width="1"/>
    <col collapsed="false" customWidth="true" hidden="false" outlineLevel="0" max="13528" min="13528" style="47" width="21.14"/>
    <col collapsed="false" customWidth="true" hidden="false" outlineLevel="0" max="13529" min="13529" style="47" width="10.71"/>
    <col collapsed="false" customWidth="true" hidden="false" outlineLevel="0" max="13530" min="13530" style="47" width="18.57"/>
    <col collapsed="false" customWidth="true" hidden="false" outlineLevel="0" max="13531" min="13531" style="47" width="1.29"/>
    <col collapsed="false" customWidth="true" hidden="false" outlineLevel="0" max="13532" min="13532" style="47" width="21.14"/>
    <col collapsed="false" customWidth="true" hidden="false" outlineLevel="0" max="13533" min="13533" style="47" width="12.42"/>
    <col collapsed="false" customWidth="true" hidden="false" outlineLevel="0" max="13534" min="13534" style="47" width="18.29"/>
    <col collapsed="false" customWidth="true" hidden="false" outlineLevel="0" max="13535" min="13535" style="47" width="1"/>
    <col collapsed="false" customWidth="true" hidden="false" outlineLevel="0" max="13536" min="13536" style="47" width="20.29"/>
    <col collapsed="false" customWidth="true" hidden="false" outlineLevel="0" max="13537" min="13537" style="47" width="10.71"/>
    <col collapsed="false" customWidth="true" hidden="false" outlineLevel="0" max="13538" min="13538" style="47" width="17.29"/>
    <col collapsed="false" customWidth="true" hidden="false" outlineLevel="0" max="13539" min="13539" style="47" width="4.14"/>
    <col collapsed="false" customWidth="false" hidden="false" outlineLevel="0" max="13778" min="13540" style="47" width="9.14"/>
    <col collapsed="false" customWidth="true" hidden="false" outlineLevel="0" max="13779" min="13779" style="47" width="1.71"/>
    <col collapsed="false" customWidth="true" hidden="false" outlineLevel="0" max="13780" min="13780" style="47" width="20.14"/>
    <col collapsed="false" customWidth="true" hidden="false" outlineLevel="0" max="13781" min="13781" style="47" width="12.42"/>
    <col collapsed="false" customWidth="true" hidden="false" outlineLevel="0" max="13782" min="13782" style="47" width="17.29"/>
    <col collapsed="false" customWidth="true" hidden="false" outlineLevel="0" max="13783" min="13783" style="47" width="1"/>
    <col collapsed="false" customWidth="true" hidden="false" outlineLevel="0" max="13784" min="13784" style="47" width="21.14"/>
    <col collapsed="false" customWidth="true" hidden="false" outlineLevel="0" max="13785" min="13785" style="47" width="10.71"/>
    <col collapsed="false" customWidth="true" hidden="false" outlineLevel="0" max="13786" min="13786" style="47" width="18.57"/>
    <col collapsed="false" customWidth="true" hidden="false" outlineLevel="0" max="13787" min="13787" style="47" width="1.29"/>
    <col collapsed="false" customWidth="true" hidden="false" outlineLevel="0" max="13788" min="13788" style="47" width="21.14"/>
    <col collapsed="false" customWidth="true" hidden="false" outlineLevel="0" max="13789" min="13789" style="47" width="12.42"/>
    <col collapsed="false" customWidth="true" hidden="false" outlineLevel="0" max="13790" min="13790" style="47" width="18.29"/>
    <col collapsed="false" customWidth="true" hidden="false" outlineLevel="0" max="13791" min="13791" style="47" width="1"/>
    <col collapsed="false" customWidth="true" hidden="false" outlineLevel="0" max="13792" min="13792" style="47" width="20.29"/>
    <col collapsed="false" customWidth="true" hidden="false" outlineLevel="0" max="13793" min="13793" style="47" width="10.71"/>
    <col collapsed="false" customWidth="true" hidden="false" outlineLevel="0" max="13794" min="13794" style="47" width="17.29"/>
    <col collapsed="false" customWidth="true" hidden="false" outlineLevel="0" max="13795" min="13795" style="47" width="4.14"/>
    <col collapsed="false" customWidth="false" hidden="false" outlineLevel="0" max="14034" min="13796" style="47" width="9.14"/>
    <col collapsed="false" customWidth="true" hidden="false" outlineLevel="0" max="14035" min="14035" style="47" width="1.71"/>
    <col collapsed="false" customWidth="true" hidden="false" outlineLevel="0" max="14036" min="14036" style="47" width="20.14"/>
    <col collapsed="false" customWidth="true" hidden="false" outlineLevel="0" max="14037" min="14037" style="47" width="12.42"/>
    <col collapsed="false" customWidth="true" hidden="false" outlineLevel="0" max="14038" min="14038" style="47" width="17.29"/>
    <col collapsed="false" customWidth="true" hidden="false" outlineLevel="0" max="14039" min="14039" style="47" width="1"/>
    <col collapsed="false" customWidth="true" hidden="false" outlineLevel="0" max="14040" min="14040" style="47" width="21.14"/>
    <col collapsed="false" customWidth="true" hidden="false" outlineLevel="0" max="14041" min="14041" style="47" width="10.71"/>
    <col collapsed="false" customWidth="true" hidden="false" outlineLevel="0" max="14042" min="14042" style="47" width="18.57"/>
    <col collapsed="false" customWidth="true" hidden="false" outlineLevel="0" max="14043" min="14043" style="47" width="1.29"/>
    <col collapsed="false" customWidth="true" hidden="false" outlineLevel="0" max="14044" min="14044" style="47" width="21.14"/>
    <col collapsed="false" customWidth="true" hidden="false" outlineLevel="0" max="14045" min="14045" style="47" width="12.42"/>
    <col collapsed="false" customWidth="true" hidden="false" outlineLevel="0" max="14046" min="14046" style="47" width="18.29"/>
    <col collapsed="false" customWidth="true" hidden="false" outlineLevel="0" max="14047" min="14047" style="47" width="1"/>
    <col collapsed="false" customWidth="true" hidden="false" outlineLevel="0" max="14048" min="14048" style="47" width="20.29"/>
    <col collapsed="false" customWidth="true" hidden="false" outlineLevel="0" max="14049" min="14049" style="47" width="10.71"/>
    <col collapsed="false" customWidth="true" hidden="false" outlineLevel="0" max="14050" min="14050" style="47" width="17.29"/>
    <col collapsed="false" customWidth="true" hidden="false" outlineLevel="0" max="14051" min="14051" style="47" width="4.14"/>
    <col collapsed="false" customWidth="false" hidden="false" outlineLevel="0" max="14290" min="14052" style="47" width="9.14"/>
    <col collapsed="false" customWidth="true" hidden="false" outlineLevel="0" max="14291" min="14291" style="47" width="1.71"/>
    <col collapsed="false" customWidth="true" hidden="false" outlineLevel="0" max="14292" min="14292" style="47" width="20.14"/>
    <col collapsed="false" customWidth="true" hidden="false" outlineLevel="0" max="14293" min="14293" style="47" width="12.42"/>
    <col collapsed="false" customWidth="true" hidden="false" outlineLevel="0" max="14294" min="14294" style="47" width="17.29"/>
    <col collapsed="false" customWidth="true" hidden="false" outlineLevel="0" max="14295" min="14295" style="47" width="1"/>
    <col collapsed="false" customWidth="true" hidden="false" outlineLevel="0" max="14296" min="14296" style="47" width="21.14"/>
    <col collapsed="false" customWidth="true" hidden="false" outlineLevel="0" max="14297" min="14297" style="47" width="10.71"/>
    <col collapsed="false" customWidth="true" hidden="false" outlineLevel="0" max="14298" min="14298" style="47" width="18.57"/>
    <col collapsed="false" customWidth="true" hidden="false" outlineLevel="0" max="14299" min="14299" style="47" width="1.29"/>
    <col collapsed="false" customWidth="true" hidden="false" outlineLevel="0" max="14300" min="14300" style="47" width="21.14"/>
    <col collapsed="false" customWidth="true" hidden="false" outlineLevel="0" max="14301" min="14301" style="47" width="12.42"/>
    <col collapsed="false" customWidth="true" hidden="false" outlineLevel="0" max="14302" min="14302" style="47" width="18.29"/>
    <col collapsed="false" customWidth="true" hidden="false" outlineLevel="0" max="14303" min="14303" style="47" width="1"/>
    <col collapsed="false" customWidth="true" hidden="false" outlineLevel="0" max="14304" min="14304" style="47" width="20.29"/>
    <col collapsed="false" customWidth="true" hidden="false" outlineLevel="0" max="14305" min="14305" style="47" width="10.71"/>
    <col collapsed="false" customWidth="true" hidden="false" outlineLevel="0" max="14306" min="14306" style="47" width="17.29"/>
    <col collapsed="false" customWidth="true" hidden="false" outlineLevel="0" max="14307" min="14307" style="47" width="4.14"/>
    <col collapsed="false" customWidth="false" hidden="false" outlineLevel="0" max="14546" min="14308" style="47" width="9.14"/>
    <col collapsed="false" customWidth="true" hidden="false" outlineLevel="0" max="14547" min="14547" style="47" width="1.71"/>
    <col collapsed="false" customWidth="true" hidden="false" outlineLevel="0" max="14548" min="14548" style="47" width="20.14"/>
    <col collapsed="false" customWidth="true" hidden="false" outlineLevel="0" max="14549" min="14549" style="47" width="12.42"/>
    <col collapsed="false" customWidth="true" hidden="false" outlineLevel="0" max="14550" min="14550" style="47" width="17.29"/>
    <col collapsed="false" customWidth="true" hidden="false" outlineLevel="0" max="14551" min="14551" style="47" width="1"/>
    <col collapsed="false" customWidth="true" hidden="false" outlineLevel="0" max="14552" min="14552" style="47" width="21.14"/>
    <col collapsed="false" customWidth="true" hidden="false" outlineLevel="0" max="14553" min="14553" style="47" width="10.71"/>
    <col collapsed="false" customWidth="true" hidden="false" outlineLevel="0" max="14554" min="14554" style="47" width="18.57"/>
    <col collapsed="false" customWidth="true" hidden="false" outlineLevel="0" max="14555" min="14555" style="47" width="1.29"/>
    <col collapsed="false" customWidth="true" hidden="false" outlineLevel="0" max="14556" min="14556" style="47" width="21.14"/>
    <col collapsed="false" customWidth="true" hidden="false" outlineLevel="0" max="14557" min="14557" style="47" width="12.42"/>
    <col collapsed="false" customWidth="true" hidden="false" outlineLevel="0" max="14558" min="14558" style="47" width="18.29"/>
    <col collapsed="false" customWidth="true" hidden="false" outlineLevel="0" max="14559" min="14559" style="47" width="1"/>
    <col collapsed="false" customWidth="true" hidden="false" outlineLevel="0" max="14560" min="14560" style="47" width="20.29"/>
    <col collapsed="false" customWidth="true" hidden="false" outlineLevel="0" max="14561" min="14561" style="47" width="10.71"/>
    <col collapsed="false" customWidth="true" hidden="false" outlineLevel="0" max="14562" min="14562" style="47" width="17.29"/>
    <col collapsed="false" customWidth="true" hidden="false" outlineLevel="0" max="14563" min="14563" style="47" width="4.14"/>
    <col collapsed="false" customWidth="false" hidden="false" outlineLevel="0" max="14802" min="14564" style="47" width="9.14"/>
    <col collapsed="false" customWidth="true" hidden="false" outlineLevel="0" max="14803" min="14803" style="47" width="1.71"/>
    <col collapsed="false" customWidth="true" hidden="false" outlineLevel="0" max="14804" min="14804" style="47" width="20.14"/>
    <col collapsed="false" customWidth="true" hidden="false" outlineLevel="0" max="14805" min="14805" style="47" width="12.42"/>
    <col collapsed="false" customWidth="true" hidden="false" outlineLevel="0" max="14806" min="14806" style="47" width="17.29"/>
    <col collapsed="false" customWidth="true" hidden="false" outlineLevel="0" max="14807" min="14807" style="47" width="1"/>
    <col collapsed="false" customWidth="true" hidden="false" outlineLevel="0" max="14808" min="14808" style="47" width="21.14"/>
    <col collapsed="false" customWidth="true" hidden="false" outlineLevel="0" max="14809" min="14809" style="47" width="10.71"/>
    <col collapsed="false" customWidth="true" hidden="false" outlineLevel="0" max="14810" min="14810" style="47" width="18.57"/>
    <col collapsed="false" customWidth="true" hidden="false" outlineLevel="0" max="14811" min="14811" style="47" width="1.29"/>
    <col collapsed="false" customWidth="true" hidden="false" outlineLevel="0" max="14812" min="14812" style="47" width="21.14"/>
    <col collapsed="false" customWidth="true" hidden="false" outlineLevel="0" max="14813" min="14813" style="47" width="12.42"/>
    <col collapsed="false" customWidth="true" hidden="false" outlineLevel="0" max="14814" min="14814" style="47" width="18.29"/>
    <col collapsed="false" customWidth="true" hidden="false" outlineLevel="0" max="14815" min="14815" style="47" width="1"/>
    <col collapsed="false" customWidth="true" hidden="false" outlineLevel="0" max="14816" min="14816" style="47" width="20.29"/>
    <col collapsed="false" customWidth="true" hidden="false" outlineLevel="0" max="14817" min="14817" style="47" width="10.71"/>
    <col collapsed="false" customWidth="true" hidden="false" outlineLevel="0" max="14818" min="14818" style="47" width="17.29"/>
    <col collapsed="false" customWidth="true" hidden="false" outlineLevel="0" max="14819" min="14819" style="47" width="4.14"/>
    <col collapsed="false" customWidth="false" hidden="false" outlineLevel="0" max="15058" min="14820" style="47" width="9.14"/>
    <col collapsed="false" customWidth="true" hidden="false" outlineLevel="0" max="15059" min="15059" style="47" width="1.71"/>
    <col collapsed="false" customWidth="true" hidden="false" outlineLevel="0" max="15060" min="15060" style="47" width="20.14"/>
    <col collapsed="false" customWidth="true" hidden="false" outlineLevel="0" max="15061" min="15061" style="47" width="12.42"/>
    <col collapsed="false" customWidth="true" hidden="false" outlineLevel="0" max="15062" min="15062" style="47" width="17.29"/>
    <col collapsed="false" customWidth="true" hidden="false" outlineLevel="0" max="15063" min="15063" style="47" width="1"/>
    <col collapsed="false" customWidth="true" hidden="false" outlineLevel="0" max="15064" min="15064" style="47" width="21.14"/>
    <col collapsed="false" customWidth="true" hidden="false" outlineLevel="0" max="15065" min="15065" style="47" width="10.71"/>
    <col collapsed="false" customWidth="true" hidden="false" outlineLevel="0" max="15066" min="15066" style="47" width="18.57"/>
    <col collapsed="false" customWidth="true" hidden="false" outlineLevel="0" max="15067" min="15067" style="47" width="1.29"/>
    <col collapsed="false" customWidth="true" hidden="false" outlineLevel="0" max="15068" min="15068" style="47" width="21.14"/>
    <col collapsed="false" customWidth="true" hidden="false" outlineLevel="0" max="15069" min="15069" style="47" width="12.42"/>
    <col collapsed="false" customWidth="true" hidden="false" outlineLevel="0" max="15070" min="15070" style="47" width="18.29"/>
    <col collapsed="false" customWidth="true" hidden="false" outlineLevel="0" max="15071" min="15071" style="47" width="1"/>
    <col collapsed="false" customWidth="true" hidden="false" outlineLevel="0" max="15072" min="15072" style="47" width="20.29"/>
    <col collapsed="false" customWidth="true" hidden="false" outlineLevel="0" max="15073" min="15073" style="47" width="10.71"/>
    <col collapsed="false" customWidth="true" hidden="false" outlineLevel="0" max="15074" min="15074" style="47" width="17.29"/>
    <col collapsed="false" customWidth="true" hidden="false" outlineLevel="0" max="15075" min="15075" style="47" width="4.14"/>
    <col collapsed="false" customWidth="false" hidden="false" outlineLevel="0" max="15314" min="15076" style="47" width="9.14"/>
    <col collapsed="false" customWidth="true" hidden="false" outlineLevel="0" max="15315" min="15315" style="47" width="1.71"/>
    <col collapsed="false" customWidth="true" hidden="false" outlineLevel="0" max="15316" min="15316" style="47" width="20.14"/>
    <col collapsed="false" customWidth="true" hidden="false" outlineLevel="0" max="15317" min="15317" style="47" width="12.42"/>
    <col collapsed="false" customWidth="true" hidden="false" outlineLevel="0" max="15318" min="15318" style="47" width="17.29"/>
    <col collapsed="false" customWidth="true" hidden="false" outlineLevel="0" max="15319" min="15319" style="47" width="1"/>
    <col collapsed="false" customWidth="true" hidden="false" outlineLevel="0" max="15320" min="15320" style="47" width="21.14"/>
    <col collapsed="false" customWidth="true" hidden="false" outlineLevel="0" max="15321" min="15321" style="47" width="10.71"/>
    <col collapsed="false" customWidth="true" hidden="false" outlineLevel="0" max="15322" min="15322" style="47" width="18.57"/>
    <col collapsed="false" customWidth="true" hidden="false" outlineLevel="0" max="15323" min="15323" style="47" width="1.29"/>
    <col collapsed="false" customWidth="true" hidden="false" outlineLevel="0" max="15324" min="15324" style="47" width="21.14"/>
    <col collapsed="false" customWidth="true" hidden="false" outlineLevel="0" max="15325" min="15325" style="47" width="12.42"/>
    <col collapsed="false" customWidth="true" hidden="false" outlineLevel="0" max="15326" min="15326" style="47" width="18.29"/>
    <col collapsed="false" customWidth="true" hidden="false" outlineLevel="0" max="15327" min="15327" style="47" width="1"/>
    <col collapsed="false" customWidth="true" hidden="false" outlineLevel="0" max="15328" min="15328" style="47" width="20.29"/>
    <col collapsed="false" customWidth="true" hidden="false" outlineLevel="0" max="15329" min="15329" style="47" width="10.71"/>
    <col collapsed="false" customWidth="true" hidden="false" outlineLevel="0" max="15330" min="15330" style="47" width="17.29"/>
    <col collapsed="false" customWidth="true" hidden="false" outlineLevel="0" max="15331" min="15331" style="47" width="4.14"/>
    <col collapsed="false" customWidth="false" hidden="false" outlineLevel="0" max="15570" min="15332" style="47" width="9.14"/>
    <col collapsed="false" customWidth="true" hidden="false" outlineLevel="0" max="15571" min="15571" style="47" width="1.71"/>
    <col collapsed="false" customWidth="true" hidden="false" outlineLevel="0" max="15572" min="15572" style="47" width="20.14"/>
    <col collapsed="false" customWidth="true" hidden="false" outlineLevel="0" max="15573" min="15573" style="47" width="12.42"/>
    <col collapsed="false" customWidth="true" hidden="false" outlineLevel="0" max="15574" min="15574" style="47" width="17.29"/>
    <col collapsed="false" customWidth="true" hidden="false" outlineLevel="0" max="15575" min="15575" style="47" width="1"/>
    <col collapsed="false" customWidth="true" hidden="false" outlineLevel="0" max="15576" min="15576" style="47" width="21.14"/>
    <col collapsed="false" customWidth="true" hidden="false" outlineLevel="0" max="15577" min="15577" style="47" width="10.71"/>
    <col collapsed="false" customWidth="true" hidden="false" outlineLevel="0" max="15578" min="15578" style="47" width="18.57"/>
    <col collapsed="false" customWidth="true" hidden="false" outlineLevel="0" max="15579" min="15579" style="47" width="1.29"/>
    <col collapsed="false" customWidth="true" hidden="false" outlineLevel="0" max="15580" min="15580" style="47" width="21.14"/>
    <col collapsed="false" customWidth="true" hidden="false" outlineLevel="0" max="15581" min="15581" style="47" width="12.42"/>
    <col collapsed="false" customWidth="true" hidden="false" outlineLevel="0" max="15582" min="15582" style="47" width="18.29"/>
    <col collapsed="false" customWidth="true" hidden="false" outlineLevel="0" max="15583" min="15583" style="47" width="1"/>
    <col collapsed="false" customWidth="true" hidden="false" outlineLevel="0" max="15584" min="15584" style="47" width="20.29"/>
    <col collapsed="false" customWidth="true" hidden="false" outlineLevel="0" max="15585" min="15585" style="47" width="10.71"/>
    <col collapsed="false" customWidth="true" hidden="false" outlineLevel="0" max="15586" min="15586" style="47" width="17.29"/>
    <col collapsed="false" customWidth="true" hidden="false" outlineLevel="0" max="15587" min="15587" style="47" width="4.14"/>
    <col collapsed="false" customWidth="false" hidden="false" outlineLevel="0" max="15826" min="15588" style="47" width="9.14"/>
    <col collapsed="false" customWidth="true" hidden="false" outlineLevel="0" max="15827" min="15827" style="47" width="1.71"/>
    <col collapsed="false" customWidth="true" hidden="false" outlineLevel="0" max="15828" min="15828" style="47" width="20.14"/>
    <col collapsed="false" customWidth="true" hidden="false" outlineLevel="0" max="15829" min="15829" style="47" width="12.42"/>
    <col collapsed="false" customWidth="true" hidden="false" outlineLevel="0" max="15830" min="15830" style="47" width="17.29"/>
    <col collapsed="false" customWidth="true" hidden="false" outlineLevel="0" max="15831" min="15831" style="47" width="1"/>
    <col collapsed="false" customWidth="true" hidden="false" outlineLevel="0" max="15832" min="15832" style="47" width="21.14"/>
    <col collapsed="false" customWidth="true" hidden="false" outlineLevel="0" max="15833" min="15833" style="47" width="10.71"/>
    <col collapsed="false" customWidth="true" hidden="false" outlineLevel="0" max="15834" min="15834" style="47" width="18.57"/>
    <col collapsed="false" customWidth="true" hidden="false" outlineLevel="0" max="15835" min="15835" style="47" width="1.29"/>
    <col collapsed="false" customWidth="true" hidden="false" outlineLevel="0" max="15836" min="15836" style="47" width="21.14"/>
    <col collapsed="false" customWidth="true" hidden="false" outlineLevel="0" max="15837" min="15837" style="47" width="12.42"/>
    <col collapsed="false" customWidth="true" hidden="false" outlineLevel="0" max="15838" min="15838" style="47" width="18.29"/>
    <col collapsed="false" customWidth="true" hidden="false" outlineLevel="0" max="15839" min="15839" style="47" width="1"/>
    <col collapsed="false" customWidth="true" hidden="false" outlineLevel="0" max="15840" min="15840" style="47" width="20.29"/>
    <col collapsed="false" customWidth="true" hidden="false" outlineLevel="0" max="15841" min="15841" style="47" width="10.71"/>
    <col collapsed="false" customWidth="true" hidden="false" outlineLevel="0" max="15842" min="15842" style="47" width="17.29"/>
    <col collapsed="false" customWidth="true" hidden="false" outlineLevel="0" max="15843" min="15843" style="47" width="4.14"/>
    <col collapsed="false" customWidth="false" hidden="false" outlineLevel="0" max="16082" min="15844" style="47" width="9.14"/>
    <col collapsed="false" customWidth="true" hidden="false" outlineLevel="0" max="16083" min="16083" style="47" width="1.71"/>
    <col collapsed="false" customWidth="true" hidden="false" outlineLevel="0" max="16084" min="16084" style="47" width="20.14"/>
    <col collapsed="false" customWidth="true" hidden="false" outlineLevel="0" max="16085" min="16085" style="47" width="12.42"/>
    <col collapsed="false" customWidth="true" hidden="false" outlineLevel="0" max="16086" min="16086" style="47" width="17.29"/>
    <col collapsed="false" customWidth="true" hidden="false" outlineLevel="0" max="16087" min="16087" style="47" width="1"/>
    <col collapsed="false" customWidth="true" hidden="false" outlineLevel="0" max="16088" min="16088" style="47" width="21.14"/>
    <col collapsed="false" customWidth="true" hidden="false" outlineLevel="0" max="16089" min="16089" style="47" width="10.71"/>
    <col collapsed="false" customWidth="true" hidden="false" outlineLevel="0" max="16090" min="16090" style="47" width="18.57"/>
    <col collapsed="false" customWidth="true" hidden="false" outlineLevel="0" max="16091" min="16091" style="47" width="1.29"/>
    <col collapsed="false" customWidth="true" hidden="false" outlineLevel="0" max="16092" min="16092" style="47" width="21.14"/>
    <col collapsed="false" customWidth="true" hidden="false" outlineLevel="0" max="16093" min="16093" style="47" width="12.42"/>
    <col collapsed="false" customWidth="true" hidden="false" outlineLevel="0" max="16094" min="16094" style="47" width="18.29"/>
    <col collapsed="false" customWidth="true" hidden="false" outlineLevel="0" max="16095" min="16095" style="47" width="1"/>
    <col collapsed="false" customWidth="true" hidden="false" outlineLevel="0" max="16096" min="16096" style="47" width="20.29"/>
    <col collapsed="false" customWidth="true" hidden="false" outlineLevel="0" max="16097" min="16097" style="47" width="10.71"/>
    <col collapsed="false" customWidth="true" hidden="false" outlineLevel="0" max="16098" min="16098" style="47" width="17.29"/>
    <col collapsed="false" customWidth="true" hidden="false" outlineLevel="0" max="16099" min="16099" style="47" width="4.14"/>
    <col collapsed="false" customWidth="false" hidden="false" outlineLevel="0" max="16384" min="16100" style="47" width="9.14"/>
  </cols>
  <sheetData>
    <row r="1" customFormat="false" ht="8.25" hidden="false" customHeight="true" outlineLevel="0" collapsed="false"/>
    <row r="2" customFormat="false" ht="12.75" hidden="false" customHeight="false" outlineLevel="0" collapsed="false">
      <c r="B2" s="48"/>
      <c r="C2" s="49"/>
      <c r="D2" s="50"/>
      <c r="F2" s="48"/>
      <c r="G2" s="49"/>
      <c r="H2" s="50"/>
      <c r="J2" s="48"/>
      <c r="K2" s="49"/>
      <c r="L2" s="50"/>
    </row>
    <row r="3" customFormat="false" ht="12.75" hidden="false" customHeight="false" outlineLevel="0" collapsed="false">
      <c r="B3" s="51" t="s">
        <v>0</v>
      </c>
      <c r="C3" s="52" t="n">
        <f aca="true">TODAY()</f>
        <v>45681</v>
      </c>
      <c r="D3" s="53"/>
      <c r="F3" s="51" t="s">
        <v>0</v>
      </c>
      <c r="G3" s="52" t="n">
        <f aca="true">TODAY()</f>
        <v>45681</v>
      </c>
      <c r="H3" s="53"/>
      <c r="J3" s="51" t="s">
        <v>0</v>
      </c>
      <c r="K3" s="52" t="n">
        <f aca="true">TODAY()</f>
        <v>45681</v>
      </c>
      <c r="L3" s="53"/>
    </row>
    <row r="4" customFormat="false" ht="12.75" hidden="false" customHeight="false" outlineLevel="0" collapsed="false">
      <c r="B4" s="51" t="s">
        <v>1</v>
      </c>
      <c r="C4" s="54" t="n">
        <v>45611</v>
      </c>
      <c r="D4" s="11" t="str">
        <f aca="false">(C4-C3+1)&amp;" Days to Expiry"</f>
        <v>-69 Days to Expiry</v>
      </c>
      <c r="F4" s="51" t="s">
        <v>1</v>
      </c>
      <c r="G4" s="54" t="n">
        <v>45492</v>
      </c>
      <c r="H4" s="11" t="str">
        <f aca="false">(G4-G3+1)&amp;" Days to Expiry"</f>
        <v>-188 Days to Expiry</v>
      </c>
      <c r="J4" s="51" t="s">
        <v>1</v>
      </c>
      <c r="K4" s="54" t="n">
        <v>45682</v>
      </c>
      <c r="L4" s="11" t="str">
        <f aca="false">(K4-K3+1)&amp;" Days to Expiry"</f>
        <v>2 Days to Expiry</v>
      </c>
    </row>
    <row r="5" customFormat="false" ht="12.75" hidden="false" customHeight="false" outlineLevel="0" collapsed="false">
      <c r="B5" s="51"/>
      <c r="C5" s="55"/>
      <c r="D5" s="53"/>
      <c r="F5" s="51"/>
      <c r="G5" s="55"/>
      <c r="H5" s="53"/>
      <c r="J5" s="51"/>
      <c r="K5" s="55"/>
      <c r="L5" s="53"/>
    </row>
    <row r="6" customFormat="false" ht="12.75" hidden="false" customHeight="false" outlineLevel="0" collapsed="false">
      <c r="B6" s="51" t="s">
        <v>2</v>
      </c>
      <c r="C6" s="56" t="n">
        <v>477.7</v>
      </c>
      <c r="D6" s="53"/>
      <c r="F6" s="51" t="s">
        <v>2</v>
      </c>
      <c r="G6" s="56" t="n">
        <v>202.26</v>
      </c>
      <c r="H6" s="53"/>
      <c r="J6" s="51" t="s">
        <v>2</v>
      </c>
      <c r="K6" s="56" t="n">
        <v>24.2</v>
      </c>
      <c r="L6" s="53"/>
    </row>
    <row r="7" customFormat="false" ht="12.75" hidden="false" customHeight="false" outlineLevel="0" collapsed="false">
      <c r="B7" s="51"/>
      <c r="C7" s="55"/>
      <c r="D7" s="53"/>
      <c r="F7" s="51"/>
      <c r="G7" s="55"/>
      <c r="H7" s="53"/>
      <c r="J7" s="51"/>
      <c r="K7" s="55"/>
      <c r="L7" s="53"/>
    </row>
    <row r="8" customFormat="false" ht="12.75" hidden="false" customHeight="false" outlineLevel="0" collapsed="false">
      <c r="B8" s="51" t="s">
        <v>3</v>
      </c>
      <c r="C8" s="56" t="n">
        <v>465</v>
      </c>
      <c r="D8" s="53"/>
      <c r="F8" s="51" t="s">
        <v>3</v>
      </c>
      <c r="G8" s="56" t="n">
        <v>207.5</v>
      </c>
      <c r="H8" s="53"/>
      <c r="J8" s="51" t="s">
        <v>3</v>
      </c>
      <c r="K8" s="56" t="n">
        <v>25</v>
      </c>
      <c r="L8" s="53"/>
    </row>
    <row r="9" customFormat="false" ht="12.75" hidden="false" customHeight="false" outlineLevel="0" collapsed="false">
      <c r="B9" s="51"/>
      <c r="C9" s="55"/>
      <c r="D9" s="53"/>
      <c r="F9" s="51"/>
      <c r="G9" s="55"/>
      <c r="H9" s="53"/>
      <c r="J9" s="51"/>
      <c r="K9" s="55"/>
      <c r="L9" s="53"/>
    </row>
    <row r="10" customFormat="false" ht="12.75" hidden="false" customHeight="false" outlineLevel="0" collapsed="false">
      <c r="B10" s="51" t="s">
        <v>17</v>
      </c>
      <c r="C10" s="56" t="n">
        <v>35.616</v>
      </c>
      <c r="D10" s="53"/>
      <c r="F10" s="51" t="s">
        <v>17</v>
      </c>
      <c r="G10" s="56" t="n">
        <v>2.18</v>
      </c>
      <c r="H10" s="53"/>
      <c r="J10" s="51" t="s">
        <v>17</v>
      </c>
      <c r="K10" s="56" t="n">
        <v>1.25</v>
      </c>
      <c r="L10" s="53"/>
    </row>
    <row r="11" customFormat="false" ht="12.75" hidden="false" customHeight="false" outlineLevel="0" collapsed="false">
      <c r="B11" s="51"/>
      <c r="C11" s="55"/>
      <c r="D11" s="53"/>
      <c r="F11" s="51"/>
      <c r="G11" s="55"/>
      <c r="H11" s="53"/>
      <c r="J11" s="51"/>
      <c r="K11" s="55"/>
      <c r="L11" s="53"/>
    </row>
    <row r="12" customFormat="false" ht="12.75" hidden="false" customHeight="false" outlineLevel="0" collapsed="false">
      <c r="B12" s="51" t="s">
        <v>18</v>
      </c>
      <c r="C12" s="17" t="n">
        <f aca="false">(C10+(C8-C6))/(C6-C10)</f>
        <v>0.0518363026031252</v>
      </c>
      <c r="D12" s="53"/>
      <c r="F12" s="51" t="s">
        <v>18</v>
      </c>
      <c r="G12" s="17" t="n">
        <f aca="false">(G10+(G8-G6))/(G6-G10)</f>
        <v>0.0370851659336266</v>
      </c>
      <c r="H12" s="53"/>
      <c r="J12" s="51" t="s">
        <v>18</v>
      </c>
      <c r="K12" s="17" t="n">
        <f aca="false">(K10+(K8-K6))/(K6-K10)</f>
        <v>0.0893246187363835</v>
      </c>
      <c r="L12" s="53"/>
    </row>
    <row r="13" customFormat="false" ht="12.75" hidden="false" customHeight="false" outlineLevel="0" collapsed="false">
      <c r="B13" s="51" t="s">
        <v>12</v>
      </c>
      <c r="C13" s="17" t="n">
        <f aca="false">(365/(C4-C3+1))*C12</f>
        <v>-0.274206528262909</v>
      </c>
      <c r="D13" s="53"/>
      <c r="F13" s="51" t="s">
        <v>12</v>
      </c>
      <c r="G13" s="17" t="n">
        <f aca="false">(365/(G4-G3+1))*G12</f>
        <v>-0.0720004551370942</v>
      </c>
      <c r="H13" s="53"/>
      <c r="J13" s="51" t="s">
        <v>12</v>
      </c>
      <c r="K13" s="17" t="n">
        <f aca="false">(365/(K4-K3+1))*K12</f>
        <v>16.30174291939</v>
      </c>
      <c r="L13" s="53"/>
    </row>
    <row r="14" customFormat="false" ht="12.75" hidden="false" customHeight="false" outlineLevel="0" collapsed="false">
      <c r="B14" s="51"/>
      <c r="C14" s="55"/>
      <c r="D14" s="53"/>
      <c r="F14" s="51"/>
      <c r="G14" s="55"/>
      <c r="H14" s="53"/>
      <c r="J14" s="51"/>
      <c r="K14" s="55"/>
      <c r="L14" s="53"/>
    </row>
    <row r="15" customFormat="false" ht="12.75" hidden="false" customHeight="false" outlineLevel="0" collapsed="false">
      <c r="B15" s="51" t="s">
        <v>11</v>
      </c>
      <c r="C15" s="17" t="n">
        <f aca="false">(C10/(C6-C10))</f>
        <v>0.0805638747387374</v>
      </c>
      <c r="D15" s="53"/>
      <c r="F15" s="51" t="s">
        <v>11</v>
      </c>
      <c r="G15" s="17" t="n">
        <f aca="false">(G10/(G6-G10))</f>
        <v>0.0108956417433027</v>
      </c>
      <c r="H15" s="53"/>
      <c r="J15" s="51" t="s">
        <v>11</v>
      </c>
      <c r="K15" s="17" t="n">
        <f aca="false">(K10/(K6-K10))</f>
        <v>0.0544662309368192</v>
      </c>
      <c r="L15" s="53"/>
    </row>
    <row r="16" customFormat="false" ht="12.75" hidden="false" customHeight="false" outlineLevel="0" collapsed="false">
      <c r="B16" s="51" t="s">
        <v>12</v>
      </c>
      <c r="C16" s="17" t="n">
        <f aca="false">(365/(C4-C3+1))*C15</f>
        <v>-0.426171221444046</v>
      </c>
      <c r="D16" s="53"/>
      <c r="F16" s="51" t="s">
        <v>12</v>
      </c>
      <c r="G16" s="17" t="n">
        <f aca="false">(365/(G4-G3+1))*G15</f>
        <v>-0.0211537725335398</v>
      </c>
      <c r="H16" s="53"/>
      <c r="J16" s="51" t="s">
        <v>12</v>
      </c>
      <c r="K16" s="17" t="n">
        <f aca="false">(365/(K4-K3+1))*K15</f>
        <v>9.94008714596951</v>
      </c>
      <c r="L16" s="53"/>
    </row>
    <row r="17" customFormat="false" ht="12.75" hidden="false" customHeight="false" outlineLevel="0" collapsed="false">
      <c r="B17" s="51"/>
      <c r="C17" s="55"/>
      <c r="D17" s="53"/>
      <c r="F17" s="51"/>
      <c r="G17" s="55"/>
      <c r="H17" s="53"/>
      <c r="J17" s="51"/>
      <c r="K17" s="55"/>
      <c r="L17" s="53"/>
    </row>
    <row r="18" customFormat="false" ht="12.75" hidden="false" customHeight="false" outlineLevel="0" collapsed="false">
      <c r="B18" s="51" t="s">
        <v>19</v>
      </c>
      <c r="C18" s="55" t="n">
        <f aca="false">C6-C10</f>
        <v>442.084</v>
      </c>
      <c r="D18" s="53"/>
      <c r="F18" s="51" t="s">
        <v>19</v>
      </c>
      <c r="G18" s="55" t="n">
        <f aca="false">G6-G10</f>
        <v>200.08</v>
      </c>
      <c r="H18" s="53"/>
      <c r="J18" s="51" t="s">
        <v>19</v>
      </c>
      <c r="K18" s="55" t="n">
        <f aca="false">K6-K10</f>
        <v>22.95</v>
      </c>
      <c r="L18" s="53"/>
    </row>
    <row r="19" customFormat="false" ht="12.75" hidden="false" customHeight="false" outlineLevel="0" collapsed="false">
      <c r="B19" s="51" t="s">
        <v>20</v>
      </c>
      <c r="C19" s="17" t="n">
        <f aca="false">C18/C6-1</f>
        <v>-0.0745572535063848</v>
      </c>
      <c r="D19" s="53"/>
      <c r="F19" s="51" t="s">
        <v>20</v>
      </c>
      <c r="G19" s="17" t="n">
        <f aca="false">G18/G6-1</f>
        <v>-0.0107782062691586</v>
      </c>
      <c r="H19" s="53"/>
      <c r="J19" s="51" t="s">
        <v>20</v>
      </c>
      <c r="K19" s="17" t="n">
        <f aca="false">K18/K6-1</f>
        <v>-0.0516528925619835</v>
      </c>
      <c r="L19" s="53"/>
    </row>
    <row r="20" customFormat="false" ht="12.75" hidden="false" customHeight="false" outlineLevel="0" collapsed="false">
      <c r="B20" s="51"/>
      <c r="C20" s="55"/>
      <c r="D20" s="53"/>
      <c r="F20" s="51"/>
      <c r="G20" s="55"/>
      <c r="H20" s="53"/>
      <c r="J20" s="51"/>
      <c r="K20" s="55"/>
      <c r="L20" s="53"/>
    </row>
    <row r="21" customFormat="false" ht="12.75" hidden="false" customHeight="false" outlineLevel="0" collapsed="false">
      <c r="B21" s="51" t="s">
        <v>21</v>
      </c>
      <c r="C21" s="56" t="n">
        <v>1</v>
      </c>
      <c r="D21" s="53"/>
      <c r="F21" s="51" t="s">
        <v>21</v>
      </c>
      <c r="G21" s="56" t="n">
        <v>1</v>
      </c>
      <c r="H21" s="53"/>
      <c r="J21" s="51" t="s">
        <v>21</v>
      </c>
      <c r="K21" s="56" t="n">
        <v>1</v>
      </c>
      <c r="L21" s="53"/>
    </row>
    <row r="22" customFormat="false" ht="12.75" hidden="false" customHeight="false" outlineLevel="0" collapsed="false">
      <c r="B22" s="51" t="s">
        <v>22</v>
      </c>
      <c r="C22" s="57" t="n">
        <f aca="false">C21*100*C10</f>
        <v>3561.6</v>
      </c>
      <c r="D22" s="53"/>
      <c r="F22" s="51" t="s">
        <v>22</v>
      </c>
      <c r="G22" s="57" t="n">
        <f aca="false">G21*100*G10</f>
        <v>218</v>
      </c>
      <c r="H22" s="53"/>
      <c r="J22" s="51" t="s">
        <v>22</v>
      </c>
      <c r="K22" s="57" t="n">
        <f aca="false">K21*100*K10</f>
        <v>125</v>
      </c>
      <c r="L22" s="53"/>
    </row>
    <row r="23" customFormat="false" ht="12.75" hidden="false" customHeight="false" outlineLevel="0" collapsed="false">
      <c r="B23" s="51"/>
      <c r="C23" s="57"/>
      <c r="D23" s="53"/>
      <c r="F23" s="51"/>
      <c r="G23" s="57"/>
      <c r="H23" s="53"/>
      <c r="J23" s="51"/>
      <c r="K23" s="57"/>
      <c r="L23" s="53"/>
    </row>
    <row r="24" customFormat="false" ht="12.75" hidden="false" customHeight="false" outlineLevel="0" collapsed="false">
      <c r="B24" s="51" t="s">
        <v>23</v>
      </c>
      <c r="C24" s="57" t="n">
        <f aca="false">(C6-C10)*100</f>
        <v>44208.4</v>
      </c>
      <c r="D24" s="53"/>
      <c r="F24" s="51" t="s">
        <v>23</v>
      </c>
      <c r="G24" s="57" t="n">
        <f aca="false">(G6-G10)*100</f>
        <v>20008</v>
      </c>
      <c r="H24" s="53"/>
      <c r="J24" s="51" t="s">
        <v>23</v>
      </c>
      <c r="K24" s="57" t="n">
        <f aca="false">(K6-K10)*100</f>
        <v>2295</v>
      </c>
      <c r="L24" s="53"/>
    </row>
    <row r="25" customFormat="false" ht="13.5" hidden="false" customHeight="false" outlineLevel="0" collapsed="false">
      <c r="B25" s="58"/>
      <c r="C25" s="59"/>
      <c r="D25" s="60"/>
      <c r="F25" s="61"/>
      <c r="G25" s="59"/>
      <c r="H25" s="60"/>
      <c r="J25" s="58"/>
      <c r="K25" s="59"/>
      <c r="L25" s="60"/>
    </row>
    <row r="26" customFormat="false" ht="15.75" hidden="false" customHeight="false" outlineLevel="0" collapsed="false">
      <c r="C26" s="62"/>
      <c r="G26" s="62"/>
      <c r="K26" s="62"/>
    </row>
    <row r="27" customFormat="false" ht="36" hidden="false" customHeight="true" outlineLevel="0" collapsed="false">
      <c r="B27" s="63" t="s">
        <v>24</v>
      </c>
      <c r="C27" s="63"/>
      <c r="D27" s="64"/>
      <c r="E27" s="64"/>
      <c r="F27" s="64"/>
      <c r="G27" s="65"/>
      <c r="H27" s="64"/>
      <c r="I27" s="64"/>
      <c r="J27" s="64"/>
      <c r="K27" s="65"/>
      <c r="L27" s="64"/>
      <c r="M27" s="64"/>
    </row>
    <row r="28" customFormat="false" ht="12.75" hidden="false" customHeight="false" outlineLevel="0" collapsed="false">
      <c r="K28" s="66"/>
    </row>
    <row r="29" customFormat="false" ht="12.75" hidden="false" customHeight="false" outlineLevel="0" collapsed="false">
      <c r="B29" s="47" t="s">
        <v>25</v>
      </c>
      <c r="C29" s="43" t="n">
        <f aca="false">(C8-C6)*100</f>
        <v>-1270</v>
      </c>
      <c r="F29" s="47" t="s">
        <v>25</v>
      </c>
      <c r="G29" s="43" t="n">
        <f aca="false">(G8-G6)*100</f>
        <v>524.000000000001</v>
      </c>
      <c r="J29" s="47" t="s">
        <v>25</v>
      </c>
      <c r="K29" s="43" t="n">
        <f aca="false">(K8-K6)*100</f>
        <v>80.0000000000001</v>
      </c>
    </row>
    <row r="30" customFormat="false" ht="12.75" hidden="false" customHeight="false" outlineLevel="0" collapsed="false">
      <c r="B30" s="47" t="s">
        <v>26</v>
      </c>
      <c r="C30" s="67" t="n">
        <f aca="false">C22+C29</f>
        <v>2291.6</v>
      </c>
      <c r="F30" s="47" t="s">
        <v>26</v>
      </c>
      <c r="G30" s="67" t="n">
        <f aca="false">G22+G29</f>
        <v>742.000000000001</v>
      </c>
      <c r="J30" s="47" t="s">
        <v>26</v>
      </c>
      <c r="K30" s="67" t="n">
        <f aca="false">K22+K29</f>
        <v>205</v>
      </c>
    </row>
    <row r="31" customFormat="false" ht="12.75" hidden="false" customHeight="false" outlineLevel="0" collapsed="false">
      <c r="K31" s="15"/>
    </row>
    <row r="32" customFormat="false" ht="12.75" hidden="false" customHeight="false" outlineLevel="0" collapsed="false">
      <c r="C32" s="15" t="n">
        <f aca="false">C30/C24</f>
        <v>0.0518363026031252</v>
      </c>
      <c r="K32" s="15"/>
    </row>
    <row r="33" customFormat="false" ht="12.75" hidden="false" customHeight="false" outlineLevel="0" collapsed="false">
      <c r="C33" s="15"/>
    </row>
    <row r="37" customFormat="false" ht="12.75" hidden="false" customHeight="false" outlineLevel="0" collapsed="false">
      <c r="C37" s="15"/>
    </row>
    <row r="39" customFormat="false" ht="12.75" hidden="false" customHeight="false" outlineLevel="0" collapsed="false">
      <c r="F39" s="15"/>
    </row>
    <row r="44" customFormat="false" ht="12.75" hidden="false" customHeight="false" outlineLevel="0" collapsed="false">
      <c r="C44" s="15"/>
    </row>
  </sheetData>
  <mergeCells count="1"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LibreOffice/7.5.7.1$Windows_X86_64 LibreOffice_project/47eb0cf7efbacdee9b19ae25d6752381ede23126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2014-12-30T18:00:14Z</dcterms:created>
  <dc:creator>Gavin McMaster</dc:creator>
  <dc:description/>
  <dc:language>fr-CH</dc:language>
  <cp:lastModifiedBy/>
  <cp:lastPrinted>2015-05-30T07:08:03Z</cp:lastPrinted>
  <dcterms:modified xsi:type="dcterms:W3CDTF">2025-01-24T21:01:52Z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